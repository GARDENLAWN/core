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mc:AlternateContent xmlns:mc="http://schemas.openxmlformats.org/markup-compatibility/2006">
    <mc:Choice Requires="x15">
      <x15ac:absPath xmlns:x15ac="http://schemas.microsoft.com/office/spreadsheetml/2010/11/ac" url="\\wsl.localhost\AL2023\var\www\html\magento\app\code\GardenLawn\Core\Configs\"/>
    </mc:Choice>
  </mc:AlternateContent>
  <xr:revisionPtr revIDLastSave="0" documentId="13_ncr:1_{6AB603FB-5610-4E1E-8A0C-333C90E869A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 i="1" l="1"/>
  <c r="I15" i="1"/>
  <c r="I16" i="1"/>
  <c r="I17" i="1"/>
  <c r="I21" i="1"/>
  <c r="I23" i="1"/>
  <c r="I24" i="1"/>
  <c r="I25" i="1"/>
  <c r="I29" i="1"/>
  <c r="I31" i="1"/>
  <c r="I32" i="1"/>
  <c r="I33" i="1"/>
  <c r="I37" i="1"/>
  <c r="I39" i="1"/>
  <c r="I40" i="1"/>
  <c r="I41" i="1"/>
  <c r="I45" i="1"/>
  <c r="I47" i="1"/>
  <c r="I48" i="1"/>
  <c r="I49" i="1"/>
  <c r="I53" i="1"/>
  <c r="I55" i="1"/>
  <c r="I56" i="1"/>
  <c r="I57" i="1"/>
  <c r="I61" i="1"/>
  <c r="I63" i="1"/>
  <c r="I64" i="1"/>
  <c r="I65" i="1"/>
  <c r="I69" i="1"/>
  <c r="I71" i="1"/>
  <c r="I72" i="1"/>
  <c r="I73" i="1"/>
  <c r="I77" i="1"/>
  <c r="I79" i="1"/>
  <c r="I80" i="1"/>
  <c r="I81" i="1"/>
  <c r="I85" i="1"/>
  <c r="I87" i="1"/>
  <c r="I88" i="1"/>
  <c r="I89" i="1"/>
  <c r="I93" i="1"/>
  <c r="I95" i="1"/>
  <c r="I96" i="1"/>
  <c r="I97" i="1"/>
  <c r="I101" i="1"/>
  <c r="I103" i="1"/>
  <c r="I104" i="1"/>
  <c r="I105" i="1"/>
  <c r="I109" i="1"/>
  <c r="I112" i="1"/>
  <c r="I113" i="1"/>
  <c r="I117" i="1"/>
  <c r="I120" i="1"/>
  <c r="I121" i="1"/>
  <c r="I125" i="1"/>
  <c r="I127" i="1"/>
  <c r="I128" i="1"/>
  <c r="I129" i="1"/>
  <c r="I133" i="1"/>
  <c r="I135" i="1"/>
  <c r="I136" i="1"/>
  <c r="I137" i="1"/>
  <c r="I141" i="1"/>
  <c r="I143" i="1"/>
  <c r="I144" i="1"/>
  <c r="I145" i="1"/>
  <c r="I149" i="1"/>
  <c r="I151" i="1"/>
  <c r="H3" i="1"/>
  <c r="I3" i="1" s="1"/>
  <c r="H4" i="1"/>
  <c r="I4" i="1" s="1"/>
  <c r="H5" i="1"/>
  <c r="I5" i="1" s="1"/>
  <c r="H6" i="1"/>
  <c r="I6" i="1" s="1"/>
  <c r="H7" i="1"/>
  <c r="I7" i="1" s="1"/>
  <c r="H8" i="1"/>
  <c r="I8" i="1" s="1"/>
  <c r="H9" i="1"/>
  <c r="I9" i="1" s="1"/>
  <c r="H10" i="1"/>
  <c r="I10" i="1" s="1"/>
  <c r="H11" i="1"/>
  <c r="I11" i="1" s="1"/>
  <c r="H12" i="1"/>
  <c r="I12" i="1" s="1"/>
  <c r="H13" i="1"/>
  <c r="H14" i="1"/>
  <c r="I14" i="1" s="1"/>
  <c r="H15" i="1"/>
  <c r="H16" i="1"/>
  <c r="H17" i="1"/>
  <c r="H18" i="1"/>
  <c r="I18" i="1" s="1"/>
  <c r="H19" i="1"/>
  <c r="I19" i="1" s="1"/>
  <c r="H20" i="1"/>
  <c r="I20" i="1" s="1"/>
  <c r="H21" i="1"/>
  <c r="H22" i="1"/>
  <c r="I22" i="1" s="1"/>
  <c r="H23" i="1"/>
  <c r="H24" i="1"/>
  <c r="H25" i="1"/>
  <c r="H26" i="1"/>
  <c r="I26" i="1" s="1"/>
  <c r="H27" i="1"/>
  <c r="I27" i="1" s="1"/>
  <c r="H28" i="1"/>
  <c r="I28" i="1" s="1"/>
  <c r="H29" i="1"/>
  <c r="H30" i="1"/>
  <c r="I30" i="1" s="1"/>
  <c r="H31" i="1"/>
  <c r="H32" i="1"/>
  <c r="H33" i="1"/>
  <c r="H34" i="1"/>
  <c r="I34" i="1" s="1"/>
  <c r="H35" i="1"/>
  <c r="I35" i="1" s="1"/>
  <c r="H36" i="1"/>
  <c r="I36" i="1" s="1"/>
  <c r="H37" i="1"/>
  <c r="H38" i="1"/>
  <c r="I38" i="1" s="1"/>
  <c r="H39" i="1"/>
  <c r="H40" i="1"/>
  <c r="H41" i="1"/>
  <c r="H42" i="1"/>
  <c r="I42" i="1" s="1"/>
  <c r="H43" i="1"/>
  <c r="I43" i="1" s="1"/>
  <c r="H44" i="1"/>
  <c r="I44" i="1" s="1"/>
  <c r="H45" i="1"/>
  <c r="H46" i="1"/>
  <c r="I46" i="1" s="1"/>
  <c r="H47" i="1"/>
  <c r="H48" i="1"/>
  <c r="H49" i="1"/>
  <c r="H50" i="1"/>
  <c r="I50" i="1" s="1"/>
  <c r="H51" i="1"/>
  <c r="I51" i="1" s="1"/>
  <c r="H52" i="1"/>
  <c r="I52" i="1" s="1"/>
  <c r="H53" i="1"/>
  <c r="H54" i="1"/>
  <c r="I54" i="1" s="1"/>
  <c r="H55" i="1"/>
  <c r="H56" i="1"/>
  <c r="H57" i="1"/>
  <c r="H58" i="1"/>
  <c r="I58" i="1" s="1"/>
  <c r="H59" i="1"/>
  <c r="I59" i="1" s="1"/>
  <c r="H60" i="1"/>
  <c r="I60" i="1" s="1"/>
  <c r="H61" i="1"/>
  <c r="H62" i="1"/>
  <c r="I62" i="1" s="1"/>
  <c r="H63" i="1"/>
  <c r="H64" i="1"/>
  <c r="H65" i="1"/>
  <c r="H66" i="1"/>
  <c r="I66" i="1" s="1"/>
  <c r="H67" i="1"/>
  <c r="I67" i="1" s="1"/>
  <c r="H68" i="1"/>
  <c r="I68" i="1" s="1"/>
  <c r="H69" i="1"/>
  <c r="H70" i="1"/>
  <c r="I70" i="1" s="1"/>
  <c r="H71" i="1"/>
  <c r="H72" i="1"/>
  <c r="H73" i="1"/>
  <c r="H74" i="1"/>
  <c r="I74" i="1" s="1"/>
  <c r="H75" i="1"/>
  <c r="I75" i="1" s="1"/>
  <c r="H76" i="1"/>
  <c r="I76" i="1" s="1"/>
  <c r="H77" i="1"/>
  <c r="H78" i="1"/>
  <c r="I78" i="1" s="1"/>
  <c r="H79" i="1"/>
  <c r="H80" i="1"/>
  <c r="H81" i="1"/>
  <c r="H82" i="1"/>
  <c r="I82" i="1" s="1"/>
  <c r="H83" i="1"/>
  <c r="I83" i="1" s="1"/>
  <c r="H84" i="1"/>
  <c r="I84" i="1" s="1"/>
  <c r="H85" i="1"/>
  <c r="H86" i="1"/>
  <c r="I86" i="1" s="1"/>
  <c r="H87" i="1"/>
  <c r="H88" i="1"/>
  <c r="H89" i="1"/>
  <c r="H90" i="1"/>
  <c r="I90" i="1" s="1"/>
  <c r="H91" i="1"/>
  <c r="I91" i="1" s="1"/>
  <c r="H92" i="1"/>
  <c r="I92" i="1" s="1"/>
  <c r="H93" i="1"/>
  <c r="H94" i="1"/>
  <c r="I94" i="1" s="1"/>
  <c r="H95" i="1"/>
  <c r="H96" i="1"/>
  <c r="H97" i="1"/>
  <c r="H98" i="1"/>
  <c r="I98" i="1" s="1"/>
  <c r="H99" i="1"/>
  <c r="I99" i="1" s="1"/>
  <c r="H100" i="1"/>
  <c r="I100" i="1" s="1"/>
  <c r="H101" i="1"/>
  <c r="H102" i="1"/>
  <c r="I102" i="1" s="1"/>
  <c r="H103" i="1"/>
  <c r="H104" i="1"/>
  <c r="H105" i="1"/>
  <c r="H106" i="1"/>
  <c r="I106" i="1" s="1"/>
  <c r="H107" i="1"/>
  <c r="I107" i="1" s="1"/>
  <c r="H108" i="1"/>
  <c r="I108" i="1" s="1"/>
  <c r="H109" i="1"/>
  <c r="H110" i="1"/>
  <c r="I110" i="1" s="1"/>
  <c r="H111" i="1"/>
  <c r="I111" i="1" s="1"/>
  <c r="H112" i="1"/>
  <c r="H113" i="1"/>
  <c r="H114" i="1"/>
  <c r="I114" i="1" s="1"/>
  <c r="H115" i="1"/>
  <c r="I115" i="1" s="1"/>
  <c r="H116" i="1"/>
  <c r="I116" i="1" s="1"/>
  <c r="H117" i="1"/>
  <c r="H118" i="1"/>
  <c r="I118" i="1" s="1"/>
  <c r="H119" i="1"/>
  <c r="I119" i="1" s="1"/>
  <c r="H120" i="1"/>
  <c r="H121" i="1"/>
  <c r="H122" i="1"/>
  <c r="I122" i="1" s="1"/>
  <c r="H123" i="1"/>
  <c r="I123" i="1" s="1"/>
  <c r="H124" i="1"/>
  <c r="I124" i="1" s="1"/>
  <c r="H125" i="1"/>
  <c r="H126" i="1"/>
  <c r="I126" i="1" s="1"/>
  <c r="H127" i="1"/>
  <c r="H128" i="1"/>
  <c r="H129" i="1"/>
  <c r="H130" i="1"/>
  <c r="I130" i="1" s="1"/>
  <c r="H131" i="1"/>
  <c r="I131" i="1" s="1"/>
  <c r="H132" i="1"/>
  <c r="I132" i="1" s="1"/>
  <c r="H133" i="1"/>
  <c r="H134" i="1"/>
  <c r="I134" i="1" s="1"/>
  <c r="H135" i="1"/>
  <c r="H136" i="1"/>
  <c r="H137" i="1"/>
  <c r="H138" i="1"/>
  <c r="I138" i="1" s="1"/>
  <c r="H139" i="1"/>
  <c r="I139" i="1" s="1"/>
  <c r="H140" i="1"/>
  <c r="I140" i="1" s="1"/>
  <c r="H141" i="1"/>
  <c r="H142" i="1"/>
  <c r="I142" i="1" s="1"/>
  <c r="H143" i="1"/>
  <c r="H144" i="1"/>
  <c r="H145" i="1"/>
  <c r="H146" i="1"/>
  <c r="I146" i="1" s="1"/>
  <c r="H147" i="1"/>
  <c r="I147" i="1" s="1"/>
  <c r="H148" i="1"/>
  <c r="I148" i="1" s="1"/>
  <c r="H149" i="1"/>
  <c r="H150" i="1"/>
  <c r="I150" i="1" s="1"/>
  <c r="H151" i="1"/>
  <c r="F29" i="1"/>
  <c r="F30" i="1"/>
  <c r="F31" i="1"/>
  <c r="F35" i="1"/>
  <c r="F37" i="1"/>
  <c r="F38" i="1"/>
  <c r="F39" i="1"/>
  <c r="F43" i="1"/>
  <c r="F45" i="1"/>
  <c r="F93" i="1"/>
  <c r="F94" i="1"/>
  <c r="F95" i="1"/>
  <c r="F99" i="1"/>
  <c r="F101" i="1"/>
  <c r="F102" i="1"/>
  <c r="F103" i="1"/>
  <c r="F107" i="1"/>
  <c r="F109" i="1"/>
  <c r="F110" i="1"/>
  <c r="F111" i="1"/>
  <c r="F115" i="1"/>
  <c r="F117" i="1"/>
  <c r="F118" i="1"/>
  <c r="F119" i="1"/>
  <c r="F123" i="1"/>
  <c r="F125" i="1"/>
  <c r="F126" i="1"/>
  <c r="F127" i="1"/>
  <c r="F131" i="1"/>
  <c r="F133" i="1"/>
  <c r="F134" i="1"/>
  <c r="F149" i="1"/>
  <c r="F150" i="1"/>
  <c r="E4" i="1"/>
  <c r="F4" i="1" s="1"/>
  <c r="E8" i="1"/>
  <c r="F8" i="1" s="1"/>
  <c r="E9" i="1"/>
  <c r="F9" i="1" s="1"/>
  <c r="E10" i="1"/>
  <c r="F10" i="1" s="1"/>
  <c r="E16" i="1"/>
  <c r="F16" i="1" s="1"/>
  <c r="E17" i="1"/>
  <c r="F17" i="1" s="1"/>
  <c r="E24" i="1"/>
  <c r="F24" i="1" s="1"/>
  <c r="E25" i="1"/>
  <c r="F25" i="1" s="1"/>
  <c r="E26" i="1"/>
  <c r="F26" i="1" s="1"/>
  <c r="E29" i="1"/>
  <c r="E30" i="1"/>
  <c r="E31" i="1"/>
  <c r="E32" i="1"/>
  <c r="F32" i="1" s="1"/>
  <c r="E33" i="1"/>
  <c r="F33" i="1" s="1"/>
  <c r="E34" i="1"/>
  <c r="F34" i="1" s="1"/>
  <c r="E35" i="1"/>
  <c r="E36" i="1"/>
  <c r="F36" i="1" s="1"/>
  <c r="E37" i="1"/>
  <c r="E38" i="1"/>
  <c r="E39" i="1"/>
  <c r="E40" i="1"/>
  <c r="F40" i="1" s="1"/>
  <c r="E41" i="1"/>
  <c r="F41" i="1" s="1"/>
  <c r="E42" i="1"/>
  <c r="F42" i="1" s="1"/>
  <c r="E43" i="1"/>
  <c r="E44" i="1"/>
  <c r="F44" i="1" s="1"/>
  <c r="E45" i="1"/>
  <c r="E48" i="1"/>
  <c r="F48" i="1" s="1"/>
  <c r="E49" i="1"/>
  <c r="F49" i="1" s="1"/>
  <c r="E50" i="1"/>
  <c r="F50" i="1" s="1"/>
  <c r="E56" i="1"/>
  <c r="F56" i="1" s="1"/>
  <c r="E57" i="1"/>
  <c r="F57" i="1" s="1"/>
  <c r="E58" i="1"/>
  <c r="F58" i="1" s="1"/>
  <c r="E64" i="1"/>
  <c r="F64" i="1" s="1"/>
  <c r="E65" i="1"/>
  <c r="F65" i="1" s="1"/>
  <c r="E66" i="1"/>
  <c r="F66" i="1" s="1"/>
  <c r="E72" i="1"/>
  <c r="F72" i="1" s="1"/>
  <c r="E73" i="1"/>
  <c r="F73" i="1" s="1"/>
  <c r="E74" i="1"/>
  <c r="F74" i="1" s="1"/>
  <c r="E80" i="1"/>
  <c r="F80" i="1" s="1"/>
  <c r="E81" i="1"/>
  <c r="F81" i="1" s="1"/>
  <c r="E82" i="1"/>
  <c r="F82" i="1" s="1"/>
  <c r="E88" i="1"/>
  <c r="F88" i="1" s="1"/>
  <c r="E89" i="1"/>
  <c r="F89" i="1" s="1"/>
  <c r="E90" i="1"/>
  <c r="F90" i="1" s="1"/>
  <c r="E93" i="1"/>
  <c r="E94" i="1"/>
  <c r="E95" i="1"/>
  <c r="E96" i="1"/>
  <c r="F96" i="1" s="1"/>
  <c r="E97" i="1"/>
  <c r="F97" i="1" s="1"/>
  <c r="E98" i="1"/>
  <c r="F98" i="1" s="1"/>
  <c r="E99" i="1"/>
  <c r="E100" i="1"/>
  <c r="F100" i="1" s="1"/>
  <c r="E101" i="1"/>
  <c r="E102" i="1"/>
  <c r="E103" i="1"/>
  <c r="E104" i="1"/>
  <c r="F104" i="1" s="1"/>
  <c r="E105" i="1"/>
  <c r="F105" i="1" s="1"/>
  <c r="E106" i="1"/>
  <c r="F106" i="1" s="1"/>
  <c r="E107" i="1"/>
  <c r="E108" i="1"/>
  <c r="F108" i="1" s="1"/>
  <c r="E109" i="1"/>
  <c r="E110" i="1"/>
  <c r="E111" i="1"/>
  <c r="E112" i="1"/>
  <c r="F112" i="1" s="1"/>
  <c r="E113" i="1"/>
  <c r="F113" i="1" s="1"/>
  <c r="E114" i="1"/>
  <c r="F114" i="1" s="1"/>
  <c r="E115" i="1"/>
  <c r="E116" i="1"/>
  <c r="F116" i="1" s="1"/>
  <c r="E117" i="1"/>
  <c r="E118" i="1"/>
  <c r="E119" i="1"/>
  <c r="E120" i="1"/>
  <c r="F120" i="1" s="1"/>
  <c r="E121" i="1"/>
  <c r="F121" i="1" s="1"/>
  <c r="E122" i="1"/>
  <c r="F122" i="1" s="1"/>
  <c r="E123" i="1"/>
  <c r="E124" i="1"/>
  <c r="F124" i="1" s="1"/>
  <c r="E125" i="1"/>
  <c r="E126" i="1"/>
  <c r="E127" i="1"/>
  <c r="E128" i="1"/>
  <c r="F128" i="1" s="1"/>
  <c r="E129" i="1"/>
  <c r="F129" i="1" s="1"/>
  <c r="E130" i="1"/>
  <c r="F130" i="1" s="1"/>
  <c r="E131" i="1"/>
  <c r="E132" i="1"/>
  <c r="F132" i="1" s="1"/>
  <c r="E133" i="1"/>
  <c r="E134" i="1"/>
  <c r="E135" i="1"/>
  <c r="F135" i="1" s="1"/>
  <c r="E136" i="1"/>
  <c r="F136" i="1" s="1"/>
  <c r="E137" i="1"/>
  <c r="F137" i="1" s="1"/>
  <c r="E138" i="1"/>
  <c r="F138" i="1" s="1"/>
  <c r="E139" i="1"/>
  <c r="F139" i="1" s="1"/>
  <c r="E140" i="1"/>
  <c r="F140" i="1" s="1"/>
  <c r="E141" i="1"/>
  <c r="F141" i="1" s="1"/>
  <c r="E142" i="1"/>
  <c r="F142" i="1" s="1"/>
  <c r="E143" i="1"/>
  <c r="F143" i="1" s="1"/>
  <c r="E144" i="1"/>
  <c r="F144" i="1" s="1"/>
  <c r="E145" i="1"/>
  <c r="F145" i="1" s="1"/>
  <c r="E146" i="1"/>
  <c r="F146" i="1" s="1"/>
  <c r="E147" i="1"/>
  <c r="F147" i="1" s="1"/>
  <c r="E148" i="1"/>
  <c r="F148" i="1" s="1"/>
  <c r="E149" i="1"/>
  <c r="E150" i="1"/>
  <c r="E151" i="1"/>
  <c r="F151" i="1" s="1"/>
  <c r="E3" i="1"/>
  <c r="F3" i="1"/>
  <c r="H2" i="1"/>
  <c r="I2" i="1" s="1"/>
  <c r="G47" i="1"/>
  <c r="E47" i="1" s="1"/>
  <c r="F47" i="1" s="1"/>
  <c r="G48" i="1"/>
  <c r="G49" i="1"/>
  <c r="G50" i="1"/>
  <c r="G51" i="1"/>
  <c r="E51" i="1" s="1"/>
  <c r="F51" i="1" s="1"/>
  <c r="G52" i="1"/>
  <c r="E52" i="1" s="1"/>
  <c r="F52" i="1" s="1"/>
  <c r="G53" i="1"/>
  <c r="E53" i="1" s="1"/>
  <c r="F53" i="1" s="1"/>
  <c r="G54" i="1"/>
  <c r="E54" i="1" s="1"/>
  <c r="F54" i="1" s="1"/>
  <c r="G55" i="1"/>
  <c r="E55" i="1" s="1"/>
  <c r="F55" i="1" s="1"/>
  <c r="G56" i="1"/>
  <c r="G57" i="1"/>
  <c r="G58" i="1"/>
  <c r="G59" i="1"/>
  <c r="E59" i="1" s="1"/>
  <c r="F59" i="1" s="1"/>
  <c r="G60" i="1"/>
  <c r="E60" i="1" s="1"/>
  <c r="F60" i="1" s="1"/>
  <c r="G61" i="1"/>
  <c r="E61" i="1" s="1"/>
  <c r="F61" i="1" s="1"/>
  <c r="G62" i="1"/>
  <c r="E62" i="1" s="1"/>
  <c r="F62" i="1" s="1"/>
  <c r="G63" i="1"/>
  <c r="E63" i="1" s="1"/>
  <c r="F63" i="1" s="1"/>
  <c r="G64" i="1"/>
  <c r="G65" i="1"/>
  <c r="G66" i="1"/>
  <c r="G67" i="1"/>
  <c r="E67" i="1" s="1"/>
  <c r="F67" i="1" s="1"/>
  <c r="G68" i="1"/>
  <c r="E68" i="1" s="1"/>
  <c r="F68" i="1" s="1"/>
  <c r="G69" i="1"/>
  <c r="E69" i="1" s="1"/>
  <c r="F69" i="1" s="1"/>
  <c r="G70" i="1"/>
  <c r="E70" i="1" s="1"/>
  <c r="F70" i="1" s="1"/>
  <c r="G71" i="1"/>
  <c r="E71" i="1" s="1"/>
  <c r="F71" i="1" s="1"/>
  <c r="G72" i="1"/>
  <c r="G73" i="1"/>
  <c r="G74" i="1"/>
  <c r="G75" i="1"/>
  <c r="E75" i="1" s="1"/>
  <c r="F75" i="1" s="1"/>
  <c r="G76" i="1"/>
  <c r="E76" i="1" s="1"/>
  <c r="F76" i="1" s="1"/>
  <c r="G77" i="1"/>
  <c r="E77" i="1" s="1"/>
  <c r="F77" i="1" s="1"/>
  <c r="G78" i="1"/>
  <c r="E78" i="1" s="1"/>
  <c r="F78" i="1" s="1"/>
  <c r="G79" i="1"/>
  <c r="E79" i="1" s="1"/>
  <c r="F79" i="1" s="1"/>
  <c r="G80" i="1"/>
  <c r="G81" i="1"/>
  <c r="G82" i="1"/>
  <c r="G83" i="1"/>
  <c r="E83" i="1" s="1"/>
  <c r="F83" i="1" s="1"/>
  <c r="G84" i="1"/>
  <c r="E84" i="1" s="1"/>
  <c r="F84" i="1" s="1"/>
  <c r="G85" i="1"/>
  <c r="E85" i="1" s="1"/>
  <c r="F85" i="1" s="1"/>
  <c r="G46" i="1"/>
  <c r="E46" i="1" s="1"/>
  <c r="F46" i="1" s="1"/>
  <c r="G87" i="1"/>
  <c r="E87" i="1" s="1"/>
  <c r="F87" i="1" s="1"/>
  <c r="G88" i="1"/>
  <c r="G89" i="1"/>
  <c r="G90" i="1"/>
  <c r="G91" i="1"/>
  <c r="E91" i="1" s="1"/>
  <c r="F91" i="1" s="1"/>
  <c r="G92" i="1"/>
  <c r="E92" i="1" s="1"/>
  <c r="F92" i="1" s="1"/>
  <c r="G86" i="1"/>
  <c r="E86" i="1" s="1"/>
  <c r="F86" i="1" s="1"/>
  <c r="G22" i="1"/>
  <c r="E22" i="1" s="1"/>
  <c r="F22" i="1" s="1"/>
  <c r="G23" i="1"/>
  <c r="E23" i="1" s="1"/>
  <c r="F23" i="1" s="1"/>
  <c r="G24" i="1"/>
  <c r="G25" i="1"/>
  <c r="G26" i="1"/>
  <c r="G27" i="1"/>
  <c r="E27" i="1" s="1"/>
  <c r="F27" i="1" s="1"/>
  <c r="G28" i="1"/>
  <c r="E28" i="1" s="1"/>
  <c r="F28" i="1" s="1"/>
  <c r="G21" i="1"/>
  <c r="E21" i="1" s="1"/>
  <c r="F21" i="1" s="1"/>
  <c r="G18" i="1"/>
  <c r="E18" i="1" s="1"/>
  <c r="F18" i="1" s="1"/>
  <c r="G19" i="1"/>
  <c r="E19" i="1" s="1"/>
  <c r="F19" i="1" s="1"/>
  <c r="G20" i="1"/>
  <c r="E20" i="1" s="1"/>
  <c r="F20" i="1" s="1"/>
  <c r="G17" i="1"/>
  <c r="G10" i="1"/>
  <c r="G11" i="1"/>
  <c r="E11" i="1" s="1"/>
  <c r="F11" i="1" s="1"/>
  <c r="G12" i="1"/>
  <c r="E12" i="1" s="1"/>
  <c r="F12" i="1" s="1"/>
  <c r="G13" i="1"/>
  <c r="E13" i="1" s="1"/>
  <c r="F13" i="1" s="1"/>
  <c r="G14" i="1"/>
  <c r="E14" i="1" s="1"/>
  <c r="F14" i="1" s="1"/>
  <c r="G15" i="1"/>
  <c r="E15" i="1" s="1"/>
  <c r="F15" i="1" s="1"/>
  <c r="G16" i="1"/>
  <c r="G9" i="1"/>
  <c r="G3" i="1"/>
  <c r="G4" i="1"/>
  <c r="G5" i="1"/>
  <c r="E5" i="1" s="1"/>
  <c r="F5" i="1" s="1"/>
  <c r="G6" i="1"/>
  <c r="E6" i="1" s="1"/>
  <c r="F6" i="1" s="1"/>
  <c r="G7" i="1"/>
  <c r="E7" i="1" s="1"/>
  <c r="F7" i="1" s="1"/>
  <c r="G8" i="1"/>
  <c r="G2" i="1"/>
  <c r="E2" i="1" s="1"/>
  <c r="F2" i="1" s="1"/>
</calcChain>
</file>

<file path=xl/sharedStrings.xml><?xml version="1.0" encoding="utf-8"?>
<sst xmlns="http://schemas.openxmlformats.org/spreadsheetml/2006/main" count="2162" uniqueCount="973">
  <si>
    <t>Product Code</t>
  </si>
  <si>
    <t>Product name</t>
  </si>
  <si>
    <t>Contains</t>
  </si>
  <si>
    <t>Pictures</t>
  </si>
  <si>
    <t>Cena detaliczna netto PLN</t>
  </si>
  <si>
    <t>Cena detaliczna brutto PLN</t>
  </si>
  <si>
    <t>RRP excl. VAT</t>
  </si>
  <si>
    <t>Cena dealer netto</t>
  </si>
  <si>
    <t>Cena dealer brutto</t>
  </si>
  <si>
    <t>Dealer</t>
  </si>
  <si>
    <t>Distributor</t>
  </si>
  <si>
    <t>URL Links</t>
  </si>
  <si>
    <t>Packaging dimensions Master Carton CM (LxWxD)</t>
  </si>
  <si>
    <t>Product weight KG</t>
  </si>
  <si>
    <t>Product Size CM (LxWxH)</t>
  </si>
  <si>
    <t>Packaging dimensions
single product CM (LxWxH)</t>
  </si>
  <si>
    <t>Qty/Master carton</t>
  </si>
  <si>
    <t>Packaging Material</t>
  </si>
  <si>
    <t>Commodity codes</t>
  </si>
  <si>
    <t>Website text (full)</t>
  </si>
  <si>
    <t>Website Key Points</t>
  </si>
  <si>
    <t>Compability and Tech Data</t>
  </si>
  <si>
    <t>Product discription</t>
  </si>
  <si>
    <t>GTIN-13</t>
  </si>
  <si>
    <t> </t>
  </si>
  <si>
    <t xml:space="preserve">2,7mm Standard Cable -  500m </t>
  </si>
  <si>
    <t>2,7mm</t>
  </si>
  <si>
    <t>https://auto-mow.com/shopold/boundary-cable/standard-cable/2-7mm-standard-boundary-cable/</t>
  </si>
  <si>
    <t>26*26*12.5</t>
  </si>
  <si>
    <t>25*25*11</t>
  </si>
  <si>
    <t>1 pc.</t>
  </si>
  <si>
    <t>Cardboard</t>
  </si>
  <si>
    <t>The 2,7 mm Basic Cable is a quality cable that works for ALL robot mower installations.
The cable is insulated with hard plastic to protect the wire. It is still very flexible and can, therefore, be laid with all cable machines.
The cable comes in high-quality wooden spools for 500 and 800 meters.
Available on drums of 50/100/150/250/500/800/1000 meters with a diameter of 2,7 mm.
Fits any robotic lawn mower
All cables come with meter marking!</t>
  </si>
  <si>
    <t>Thickness 2,7 mm Basic cable with a more stable insulation than the original plastic.
Cable roll size: 50/100/150/250/500/800/1000 Meters – the 1000 meter roll will fit all professional cable machines.
Used for the installation of robot mowers, boundary loop, boundary cable, search cable, look-up loop, guide-wire and much more.
For all Husqvarna Automower models such: 105 305 308 310 315 315X 320 330X 420 430X 440 450X 520 550 G2 G3 210C 220AC 230ACX 260ACX 265ACX SH Solar Hybrid
For all Gardena models such as: R38Li R40Li R45Li R50Li R70Li R75Li R80Li R100Li R130Li R160Li R165 R180 Sileno Sileno+ Sileno City smart Sileno City smart Sileno smart Sileno+
For all McCulloch such as: ROB R600 and R1000 Bosch Indego 800 1000 1100 1200 connect WorX Landroid
For all Robomow-autonomous models such as: MC300, MC500, MC1000, MC1200, MS-Serie, RL-series, RM-Series.
For all Ambrogio models such as: L200-250 -Robot models
For All Stihl/Viking iMow robots
For All Honda Miimo robots</t>
  </si>
  <si>
    <t>The 2,7mm Basic Cable is a great quality cable that works for ALL robot mower installations.</t>
  </si>
  <si>
    <t xml:space="preserve">2,7mm Standard Cable - 1000m </t>
  </si>
  <si>
    <t>28*28*18.5</t>
  </si>
  <si>
    <t>27*17</t>
  </si>
  <si>
    <t>2,7mm Standard Cable - 100m</t>
  </si>
  <si>
    <t>29*29*16</t>
  </si>
  <si>
    <t>0.8</t>
  </si>
  <si>
    <t>14*14*8</t>
  </si>
  <si>
    <t>8 pcs.</t>
  </si>
  <si>
    <t>2,7mm Standard Cable - 150m</t>
  </si>
  <si>
    <t>26*26*15</t>
  </si>
  <si>
    <t>25*25*7</t>
  </si>
  <si>
    <t>26*26*7</t>
  </si>
  <si>
    <t>2 pcs.</t>
  </si>
  <si>
    <t xml:space="preserve">2,7mm Standard Cable - 250m </t>
  </si>
  <si>
    <t>27*27*15</t>
  </si>
  <si>
    <t>27*27*7</t>
  </si>
  <si>
    <t>2,7mm Standard Cable - 50m</t>
  </si>
  <si>
    <t>https://auto-mow.com/shop/cable/standard-cable/2-7-mm-standard-boundary-cable/</t>
  </si>
  <si>
    <t>34*34*18</t>
  </si>
  <si>
    <t>11*11*7</t>
  </si>
  <si>
    <t>18 pcs.</t>
  </si>
  <si>
    <t xml:space="preserve">2,7mm Standard Cable - 800m </t>
  </si>
  <si>
    <t>28*28*16.5</t>
  </si>
  <si>
    <t>27*15</t>
  </si>
  <si>
    <t>3,4mm Standard Cable - 5m</t>
  </si>
  <si>
    <t>3,4mm</t>
  </si>
  <si>
    <t>https://auto-mow.com/shopold/boundary-cable/standard-cable/standard-cable-34mm/</t>
  </si>
  <si>
    <t>The 3,4 mm green Robot mower boundary cable is a premium quality cable that works for ALL robot mower installations.
The cable is insulated with hard plastic to protect the wire. It is still very flexible and can, therefore, be laid with all cable machines.
The bigger robot mower boundary cable comes in high-quality wooden spools to prenvent breakage on impact. All cables are meter marked throughout.
Fits any robotic lawn mowers.
Available on drums of  50 / 100 / 150 / 250 / 500 / 800 meters with a diameter of 3,4 mm.</t>
  </si>
  <si>
    <t>Thickness on the Robot mower boundary cable 3,4 mm with more stable insulation than the original plastic.
Cable roll size: 25/100/150/250/500/800 Meters – the 800 meters will fit all professional cable machines.
Used for the installation of robot mowers, boundary loop, boundary cable, search cable, look-up loop, guide-wire and much more.
For all Husqvarna Automower types such: 105 305 308 310 315 315X 320 330X 420 430X 440 450X 520 550 G2 G3 210C 220AC 230ACX 260ACX 265ACX SH Solar Hybrid
For all Gardena types such as: R38Li R40Li R45Li R50Li R70Li R75Li R80Li R100Li R130Li R160Li R165 R180 Sileno Sileno+ Sileno City smart Sileno City smart Sileno smart Sileno+
For all McCulloch such as: ROB R600 and R1000 Bosch Indego 800 1000 1100 1200 connect WorX Landroid
For all Robomow-autonomous models such as: MC300, MC500, MC1000, MC1200, MS-Serie, RL-series, RM-Series.
For all Ambrogio types such as: L200-250 -Robot models
For all Stihl/Viking iMow robots
For all Hinda Miimo robots</t>
  </si>
  <si>
    <t>The 3,4mm green Boundary Cable is a premium quality cable that works for ALL robot mower installations.</t>
  </si>
  <si>
    <t>3,4mm Standard Cable - 25m</t>
  </si>
  <si>
    <t>3,4mm Standard Cable - 100m</t>
  </si>
  <si>
    <t>25*7</t>
  </si>
  <si>
    <t>3,4mm Standard Cable - 150m</t>
  </si>
  <si>
    <t>3,4mm Standard Cable - 250m</t>
  </si>
  <si>
    <t>26,5*26,5*25</t>
  </si>
  <si>
    <t>25*12</t>
  </si>
  <si>
    <t>26,5*26,5*12,5</t>
  </si>
  <si>
    <t>3,4mm Standard Cable - 500m</t>
  </si>
  <si>
    <t>28*28*15,5</t>
  </si>
  <si>
    <t>27*14</t>
  </si>
  <si>
    <t>3,4mm Standard Cable - 500m - Black</t>
  </si>
  <si>
    <t>https://auto-mow.com/shopold/boundary-cable/standard-cable/34mm-black-standard-cable-copy/</t>
  </si>
  <si>
    <t>28*28*15,.5</t>
  </si>
  <si>
    <t>Standard Black Boundary Cable – An alternative for a second installation in the same garden.
Our standard Boundary Cable in black is the same cable as our green cable, just in a different colour.
Sizes: 500/800 meters
Fits any robotic lawn mower
Additional installations
Complicated installations
2nd installation in the same garden
Repairs
Cable differentiation
Guide cable</t>
  </si>
  <si>
    <t>Sizes: 500/800 meters
Fits any robotic lawn mower
Additional installations
Complicated installations
2nd installation in the same garden
Repairs
Cable differentiation
Guide cable</t>
  </si>
  <si>
    <t>Thickness: 3,4 mm standard Black Boundary Cable
Cable roll size: 500/800 meters – the 800 meters roll of the Black Boundary Cable will fit all professional cable machines.
Used for installation of robot mowers, boundary loop, boundary cable, search cable, look-up loop, guide-wire and much more.
For all Husqvarna Automower types such: 105 305 308 310 315 315X 320 330X 420 430X 440 450X 520 550 G2 G3 210C 220AC 230ACX 260ACX 265ACX SH Solar Hybrid
For all Gardena types such as: R38Li R40Li R45Li R50Li R70Li R75Li R80Li R100Li R130Li R160Li R165 R180 Sileno Sileno+ Sileno City smart Sileno City smart Sileno smart Sileno+
For all McCulloch such as: ROB R600 and R1000 Bosch Indego 800 1000 1100 1200 connect WorX Landroid
For all Robomow-autonomous models such as: MC300, MC500, MC1000, MC1200, MS-Serie, RL-series, RM-Series.
For all Ambrogio types such as: L200-250 -Robot models
For All Hinda Miimo robots</t>
  </si>
  <si>
    <t>Standard Cable in Black – An alternative for a second installation in the same garden.</t>
  </si>
  <si>
    <t>3,4mm Standard Cable - 500m - Orange</t>
  </si>
  <si>
    <t>https://auto-mow.com/shopold/boundary-cable/standard-cable/orange-cable-34mm/</t>
  </si>
  <si>
    <t>Robot mower standard Cable in Orange – An alternative for a second installation in the same garden.
Our Standard Cable in orange is the same cable as our green cable, just in a different colour.
Sizes: 500/800 meters
Fits any robotic lawn mower
Additional installations
Complicated installations
2nd installation in the same garden
Repairs
Cable differentiation
Guide cable</t>
  </si>
  <si>
    <t>Thickness: 3,4 mm robot mower standard Cable
Cable roll size: 500/800 meters – the 800 meters will fit all professional cable machines.
Used for installation of robot mowers, boundary loop, boundary cable, search cable, look-up loop, guide-wire and much more.
For all Husqvarna Automower types such: 105 305 308 310 315 315X 320 330X 420 430X 440 450X 520 550 G2 G3 210C 220AC 230ACX 260ACX 265ACX SH Solar Hybrid
For all Gardena types such as: R38Li R40Li R45Li R50Li R70Li R75Li R80Li R100Li R130Li R160Li R165 R180 Sileno Sileno+ Sileno City smart Sileno City smart Sileno smart Sileno+
For all McCulloch such as: ROB R600 and R1000 Bosch Indego 800 1000 1100 1200 connect WorX Landroid
For all Robomow-autonomous models such as: MC300, MC500, MC1000, MC1200, MS-Serie, RL-series, RM-Series.
For all Ambrogio types such as: L200-250 -Robot models
For All Honda Miimo robots</t>
  </si>
  <si>
    <t>Standard Cable in Orange – An alternative for a second installation in the same garden or guide cable</t>
  </si>
  <si>
    <t>3,4mm Standard Cable - 50m</t>
  </si>
  <si>
    <t>34*34*16</t>
  </si>
  <si>
    <t>10*10*7</t>
  </si>
  <si>
    <t>3,4mm Standard Cable - 800m</t>
  </si>
  <si>
    <t>800m</t>
  </si>
  <si>
    <t>28*28*22.5</t>
  </si>
  <si>
    <t>27*21</t>
  </si>
  <si>
    <t>3,4mm Standard Cable - 800m - Black</t>
  </si>
  <si>
    <t>30*30*22</t>
  </si>
  <si>
    <t>29*20</t>
  </si>
  <si>
    <t>3,4mm Standard Cable - 800m - Orange</t>
  </si>
  <si>
    <t>3,8mm Premium Safety Cable - 150m</t>
  </si>
  <si>
    <t>3,8mm</t>
  </si>
  <si>
    <t>https://auto-mow.com/shopold/boundary-cable/impact-safety-cable/38mm-premium-safety-cable/</t>
  </si>
  <si>
    <t>26*26*10,5</t>
  </si>
  <si>
    <t>25*10</t>
  </si>
  <si>
    <t xml:space="preserve">1 pcs. </t>
  </si>
  <si>
    <t>Premium Safety Cable 3, 8 mm is the first 3-layer Safety Cable with an infused anti-rodent repellent. Auto-Mow offers a 10-year guarantee against animal bites and garden tools!
A regular standard cable breaks typically 3,2 times within the robot mower’s lifespan, causing problems between installers and their customers. This normally ends up in warranty issues, compelling installers to reimburse their customers.
Our Premium Safety Cable is infused with a non-toxic repellent, which prevents animals from biting the cable more than once. It has a 100 % stronger metal mesh protection than our Safety Cable.
We know that time has value! And with Auto-Mow’s Premium Safety Cable, your time spending on repairs are over!
Sizes: 150/250/500/800 meters
Anti rodent repellent
100% stronger mesh
10 year repair guarantee
Professional installation cable
Fits any robotic lawn mower</t>
  </si>
  <si>
    <t>Sizes: 150/250/500/800 meters
Anti rodent repellent
100% stronger mesh
10 year repair guarantee
Professional installation cable
Fits any robotic lawn mower</t>
  </si>
  <si>
    <t>Thickness of the Premium Safety Cable 3,8mm with extra protection and higher insulation than the original plastic material.
Cable roll size: 150/250/500/800 Meters – the 800 meters will fit all professional cable machines.
Provides worry-free installation and protection from all animals and garden tools.
Used for installation of robot mowers, boundary loop, boundary cable, search cable, look-up loop, guide-wire and much more.
For all Husqvarna Automower types such: 105 305 308 310 315 315X 320 330X 420 430X 440 450X 520 550 G2 G3 210C 220AC 230ACX 260ACX 265ACX SH Solar Hybrid
For all Gardena types such as: R38Li R40Li R45Li R50Li R70Li R75Li R80Li R100Li R130Li R160Li R165 R180 Sileno Sileno+ Sileno City smart Sileno City smart Sileno smart Sileno+
For all McCulloch such as: ROB R600 and R1000 Bosch Indego 800 1000 1100 1200 connect WorX Landroid
For all Robomow-autonomous models such as: MC300, MC500, MC1000, MC1200, MS-Serie, RL-series, RM-Series,..
For all Ambrogio types such as: L200-250 -Robot models.
For All Stihl/Viking iMow robots
For All Honda Miimo robots</t>
  </si>
  <si>
    <t>The 3,8 mm Premium Safety Cable is the first rodent repellent infused boundary cable. It's the strongest, most durable product on the market.</t>
  </si>
  <si>
    <t>3,8mm Premium Safety Cable - 250m</t>
  </si>
  <si>
    <t>26*26*16,5</t>
  </si>
  <si>
    <t>25*15</t>
  </si>
  <si>
    <t>1 pcs.</t>
  </si>
  <si>
    <t>3,8mm Premium Safety Cable - 500m</t>
  </si>
  <si>
    <t>28*28*20.5</t>
  </si>
  <si>
    <t>27*19</t>
  </si>
  <si>
    <t>3,8mm Premium Safety Cable - 500m - Orange</t>
  </si>
  <si>
    <t>3,8mm Safety Cable in Orange – An alternative for a second installation in the same garden.
Our Premium Safety Cable in orange is the same cable as our green cable, the only difference is the color.
A regular standard cable breaks typically 3,2 times within the robot mower’s lifespan, causing problems between installers and their customers. This normally ends up in warranty issues, compelling installers to reimburse their customers.
Our Premium Safety Cable is infused with a non-toxic repellent, which prevents animals from biting the cable more than once. It has a 100% stronger metal mesh protection than our Safety Cable.
We know that time has value! And with Auto-Mow’s Premium Safety Cable, your time spending on repairs are over!
Sizes: 500/800 meters
Anti rodent repellent
100% stronger mesh
10 year repair guarantee
Professional installation cable
Fits any robotic lawn mower</t>
  </si>
  <si>
    <t>Sizes: 500/800 meters
Anti rodent repellent
100% stronger mesh
10 year repair guarantee
Professional installation cable
Fits any robotic lawn mower</t>
  </si>
  <si>
    <t>Thickness 3,8mm with extra protection and higher insulation than the original plastic material.
Cable roll size: 500/800 Meters – the 800 meters will fit all professional cable machines.
Provides worry-free installation and protection from animals and garden tools.
Used for installation of robot mowers, boundary loop, boundary cable, search cable, look-up loop, guide-wire and much more.
For all Husqvarna Automower types such: 105 305 308 310 315 315X 320 330X 420 430X 440 450X 520 550 G2 G3 210C 220AC 230ACX 260ACX 265ACX SH Solar Hybrid
For all Gardena types such as: R38Li R40Li R45Li R50Li R70Li R75Li R80Li R100Li R130Li R160Li R165 R180 Sileno Sileno+ Sileno City smart Sileno City smart Sileno smart Sileno+
For all McCulloch such as: ROB R600 and R1000 Bosch Indego 800 1000 1100 1200 connect WorX Landroid
For all Robomow-autonomous models such as: MC300, MC500, MC1000, MC1200, MS-Serie, RL-series, RM-Series,..
For all Ambrogio types such as: L200-250 -Robot models.
For All Stihl/Viking iMow robots
For All Honda Miimo robots</t>
  </si>
  <si>
    <t>3,8mm Premium Safety Cable - 800m</t>
  </si>
  <si>
    <t>31*31*24.5</t>
  </si>
  <si>
    <t>30*23</t>
  </si>
  <si>
    <t>3,8mm Premium Safety Cable - 800m - Orange</t>
  </si>
  <si>
    <t>3,8mm Premium Safety Cable - 500m - Black</t>
  </si>
  <si>
    <t>3,8mm Premium Safety Cable - 800m - Black</t>
  </si>
  <si>
    <t>Alpine Garage - Nature</t>
  </si>
  <si>
    <t>Alpine Garage</t>
  </si>
  <si>
    <t>https://auto-mow.com/da/shop/garages/alpine-garage-nature/</t>
  </si>
  <si>
    <t>77*79*15</t>
  </si>
  <si>
    <t>64*63*50</t>
  </si>
  <si>
    <t>44 21 99 99 99</t>
  </si>
  <si>
    <t>The Alpine Garage from Auto-Mow is a garage for medium and small robots. It is made of high-quality and sustainable wood and has a smart storage area for accessories and tools for the robot.
Gain free access to the control panel by opening the roof. The garage fits in most gardens and can be painted by customers in any color.  It is extremely easy to set up and can be installed within 10 minutes.
Fast and easy installation
UV and Weather Protection
Storage space under the roof
Easy access to the control panel from above
2-year warranty
Natural Color
This garage will prolong the lifespan of your robot by up to 20% with complete sheltering, great airflow, and avoiding direct sunlight.
You can see below which robot fits our garage.
Door dimensions: Width: 53cm, Height: 30cm
Garage length: 64,7cm</t>
  </si>
  <si>
    <t>Fast and easy installation
UV and Weather Protection
Storage space under the roof
Easy access to the control panel from above
2-year warranty
Natural Color</t>
  </si>
  <si>
    <t>Compatible with:
Automower: 105, Aspire R4, 305, 315X, 310, 315 Mark II, 405X, 310 MarkII, 415X, Gardena: All models, Robomow: RT300/RT700, RK1000, RK1000 Pro, RK2000, RK2000 Pro, Ambrogio: L60Elite/S+, L32 Deluxe, L35 Deluxe, L259i Elite/S+, Twenty deluxe, Twenty Elite/S+, Bosch: All models, Honda: Miimo HRM 40/Live, Miimo HRM 70/Live, McCulloch: Rob S600, Rob S400, R600, Stiga: All models, Cramer: All models</t>
  </si>
  <si>
    <t>Small size garage with angled roof. Roof easily opens to reach robot at any time and has a small space for tools</t>
  </si>
  <si>
    <t>Ambrogio 400L Garage</t>
  </si>
  <si>
    <t>https://auto-mow.com/shopold/garages/ambrogio-400l-garage/</t>
  </si>
  <si>
    <t>135*130*55</t>
  </si>
  <si>
    <t>We offer this garages for the L400 and we will be able to do it in customized colors.
Please write to us for specification and delivery options.</t>
  </si>
  <si>
    <t>Ambrogio L400 garage with customized colors</t>
  </si>
  <si>
    <t xml:space="preserve">Auto-Mow Garage 1 </t>
  </si>
  <si>
    <t>Auto-Mow Garage 1</t>
  </si>
  <si>
    <t>https://auto-mow.com/shopold/garages/garage-ii/</t>
  </si>
  <si>
    <t>104*74*7</t>
  </si>
  <si>
    <t>103*77*46</t>
  </si>
  <si>
    <t>AUTO-MOW Garage 1
Requires no maintenance
Fits all robots up to 5.000m2
Easy to assemble
High-quality stainless steel
Great value for money
Size –  L*W*H: 103*77*45.5cm</t>
  </si>
  <si>
    <t>Requires no maintenance
Fits all robots up to 5.000m2
Easy to assemble
High-quality stainless steel
Great value for money</t>
  </si>
  <si>
    <t>Fits all robots up to 5.000m2</t>
  </si>
  <si>
    <t>AUTO-MOW budget Garage 1 is our best selling garage.</t>
  </si>
  <si>
    <t>Auto-Mow Garage 1 - Medium</t>
  </si>
  <si>
    <t>Auto-Mow Garage 1 Medium</t>
  </si>
  <si>
    <t>https://auto-mow.com/shop/garages/auto-mow-garage-1/</t>
  </si>
  <si>
    <t>80*58,6*6,5</t>
  </si>
  <si>
    <t>80*60*42</t>
  </si>
  <si>
    <t>Fits all robots up to 3.000m2</t>
  </si>
  <si>
    <t>AUTO-MOW Garage 1- Medium covers your robot from rain and is easy to maintain. Fits all robots up to 5.000m2.</t>
  </si>
  <si>
    <t>BIGMOW - Sponsor home</t>
  </si>
  <si>
    <t>Bigmow</t>
  </si>
  <si>
    <t>https://auto-mow.com/shopold/garages/bigmow-sponsor-home/</t>
  </si>
  <si>
    <t>162*67*33</t>
  </si>
  <si>
    <t>159*150*66</t>
  </si>
  <si>
    <t>46 21 99 99 99</t>
  </si>
  <si>
    <t xml:space="preserve">Auto-Mow presents the best home for your Bigmow, built with an extremely long-lasting material that protects against footballs and burglars.
The Bigmow sponsor home is a garage with a unique design. The garage fits the Bigmow docking station and has the perfect surface space for sponsorship.  This can be used for example to promote the robot installers or generate advertising revenue from sponsors.
Upon request, we can design the garage in any colour or special design to fit the needs of any client.
The garage increases the lifetime of the robot and is a good investment considering the price of a Bigmow.
Strong build
Sponsorship options
Danish design
Increases lifetime of the robot
Works for: All Bigmow models
Garage Dimensions: 159cm x 150cm x 66cm </t>
  </si>
  <si>
    <t>Strong build
Sponsorship options
Danish design
Increases lifetime of the robot</t>
  </si>
  <si>
    <t xml:space="preserve">Works for: All Bigmow models
Garage Dimensions: 159cm x 150cm x 66cm </t>
  </si>
  <si>
    <t xml:space="preserve">The Bigmow sponsor home offers a garage with a unique design. The garage fits the Bigmow docking station </t>
  </si>
  <si>
    <t>C-Home</t>
  </si>
  <si>
    <t>1 Pc</t>
  </si>
  <si>
    <t>Ceora Home</t>
  </si>
  <si>
    <t>https://auto-mow.com/shop/garages/ceora-home/</t>
  </si>
  <si>
    <t>160*120*80</t>
  </si>
  <si>
    <t>163*142*71</t>
  </si>
  <si>
    <t>This Garage is a perfect match for the Husqvarna Automower Ceora.
The garage provides the needed shelter to prolong the lifespan of the robot and is produced in high-quality 3-layer aluminium.
The Ceora model is an expensive robot, so why not protect the investment in the robot mower over time?! We believe that the Ceora Home is a must-have for all Ceora models.
It is available with an extra storage box that comes with an easy external power plug to plug in the robot, tools needed for the maintenance of the robot, and of course, a storage room for all tools needed.
Extends the lifetime of the robot
External power adapter
2-years warranty</t>
  </si>
  <si>
    <t>Extends the lifetime of the robot
External power adapter
2-years warranty</t>
  </si>
  <si>
    <t>Husqvarna Automower Ceora</t>
  </si>
  <si>
    <t>This model is a perfect match for the Husqvarna Automower Ceora.</t>
  </si>
  <si>
    <t>My Robot home - Nature</t>
  </si>
  <si>
    <t>MRH Nature</t>
  </si>
  <si>
    <t>https://auto-mow.com/shopold/garages/my-robot-home-w-automatic-door-natural/</t>
  </si>
  <si>
    <t>118*71*18</t>
  </si>
  <si>
    <t>107*76*70</t>
  </si>
  <si>
    <t>49 21 99 99 99</t>
  </si>
  <si>
    <t>The Best Robot Garage with an Automatic Door. MY ROBOT HOME opens and closes the door automatically!
You don’t have to program a timer – the garage door is mechanical and easy to adjust for any robot mower. You can paint the garage to add your own unique look.
The Robot Mower and the charging station are protected, which gives your robot many extra years of mowing.
Mechanical Door
Open and closes automatically
High-quality wood
2 Years warranty
Protects the robot all year
Access to the robot from the top
Door dimensions: Width: 70cm Height: 40cm
Length: 107cm</t>
  </si>
  <si>
    <t>Mechanical Door
Open and closes automatically
High-quality wood
2 Years warranty
Protects the robot all year
Access to the robot from the top</t>
  </si>
  <si>
    <t>Compatible with:
Automower: 105, 305, 308, 310, 315, 315X, 320, 330X, 420, 430X, 440, 450X, 520, 550, G2, G3, 210C, 220AC, 230ACX, 260ACX, 265ACX, SH Solar Hybrid (Not AWD), For all Robomow-autonomous models such as: MC300, MC500, MC1000, MC1200, MS-Serie, RL-series, RM-Series,.., For All Stihl/Viking iMow robots,
For all Gardena types such as: R38Li, R40Li, R45Li, R50Li, R70Li, R75Li, R80Li, R100Li, R130Li, R160Li, R165, R180, Sileno, Sileno+, Sileno City Smart, For all McCulloch such as: ROB R600 and R1000 Bosch Indego 800 1000 1100 1200 connect WorX Landroid</t>
  </si>
  <si>
    <t>The Best Robot Garage with an Automatic Door. MY ROBOT HOME opens and closes the door automatically!</t>
  </si>
  <si>
    <t>My Robot Home Compact</t>
  </si>
  <si>
    <t>MRH Compact</t>
  </si>
  <si>
    <t>https://auto-mow.com/shop/garages/my-robot-home-compact-white-grey/</t>
  </si>
  <si>
    <t>76*83*52,5</t>
  </si>
  <si>
    <t>82*69*52</t>
  </si>
  <si>
    <t>47 21 99 99 99</t>
  </si>
  <si>
    <t>Auto-Mow’s famous Highline garage in a smaller and compact version for all medium and small-size robots.
The door runs with a mechanical function and doesn’t demand a timer or electrical installation.
MY ROBOT HOME COMPACT comes with a Name tag, solar Light, windows and doors with white panels to give it a high-class look.
The garage protects the robot and prolongs its lifespan of the robot by several years.
About:
Solar Light
Fits Medium and Small robot mowers
A mechanical door that opens and closes automatically
High-quality wood
2-Year warranty
Protects the robot all year
Access to the robot from the top
Garage size: 78.5 x 69 x 52 cm
Door dimensions: Width: 55 cm, Height: 31 cm</t>
  </si>
  <si>
    <t>Solar Light
Fits Medium and Small robot mowers
A mechanical door that opens and closes automatically
High-quality wood
2-Year warranty
Protects the robot all year
Access to the robot from the top</t>
  </si>
  <si>
    <t>Compatible with:
Automower: 105, Aspire R4, 305, 315X, 310, 315 Mark II, 405X, 310 MarkII, 415X, Gardena: All models, Robomow: RT300/RT700, Ambrogio: All models exept for Quad Elite, Bosch: All models, Honda: Miimo HRM 40/Live, Miimo HRM 70/Live, McCulloch: Rob S600, Rob S400, R600, Stiga: All models, Cramer: RM800</t>
  </si>
  <si>
    <t>Highline garage in a smaller and compact version for all medium and small-size robots.</t>
  </si>
  <si>
    <t>My Robot Home Plus - White &amp; Grey</t>
  </si>
  <si>
    <t>MRH Plus</t>
  </si>
  <si>
    <t>https://auto-mow.com/shopold/garages/my-robot-home-plus/</t>
  </si>
  <si>
    <t>119*73*20</t>
  </si>
  <si>
    <t>109*94*73</t>
  </si>
  <si>
    <t>The next highline garage model within the robot mower market, with windows, name inscription plate, solar illumination above the garage door.
All the lights in the MY ROBOT HOME PLUS run on solar energy.  Even the door is mechanically engineered, which makes it work without electricity.
The base color allows for repainting with a color of choice.
The garage protects the robot and prolongs the lifespan of the robot by several years.
Solar light
Fits 90% of all robot mowers
Mechanical door that opens and closes automatically
High-quality wood
2-Year warranty
Protects the robot all year
Access to the robot from the top
Door dimensions: Width: 70 cm Height: 40 cm
Lenght: 107 cm</t>
  </si>
  <si>
    <t>Solar light
Fits 90% of all robot mowers
Mechanical door that opens and closes automatically
High-quality wood
2-Year warranty
Protects the robot all year
Access to the robot from the top</t>
  </si>
  <si>
    <t>Compatible with:
Automower: 105, 305, 308, 310, 315, 315X, 320, 330X, 420, 430X, 440, 450X, 520, 550, G2, G3, 210C, 220AC, 230ACX, 260ACX, 265ACX, SH Solar Hybrid (Not AWD), For all Robomow-autonomous models such as: RS, RX, RC, MC300, MC500, MC1000, MC1200, MS-Serie, RL-series, RM-Series, For all Gardena types such as: R38Li, R40Li, R45Li, R50Li, R70Li, R75Li, R80Li, R100Li, R130Li, R160Li, R165, R180, Sileno, Sileno+, Sileno City Smart, For all McCulloch such as: ROB R600 and R1000 Bosch Indego 800 1000 1100 1200 connect, Ambrogio: All models except Ambrogio 350, 4.0, Quad, L400i, HONDA MIIMO: All models, STIGA: 528 – 530 – 550SG, M3 – M5 – M7 – 221 – 225S – 230S, CUB CADET: XR2, XR1, XR3 WOLF GARTEN LOOPO: M, S. WIPER: All Models except: Q and YARD series, McCulloch: R600 – R1000 BOSCH, INDEGO: 350 – 400, CRAMER/ GREENWORKS: RM 1000/RM1500 POWERWORXS P10 P 15, EINHEL LANDXCAPE: LX8 LX7 YARD FORCE, Amiro: – X series – Compact series, SEGWAY: All models, Mammotion Luba: All models</t>
  </si>
  <si>
    <t>The next highline garage model within the robot mower market, with windows, name inscription plate, solar illumination around the robot and above the garage door.</t>
  </si>
  <si>
    <t>Navi Home (RTK robots)</t>
  </si>
  <si>
    <t>https://auto-mow.com/shop/garages/navi-home-rtk-garage/</t>
  </si>
  <si>
    <t>74,5*68*16.5</t>
  </si>
  <si>
    <t>76*63*48</t>
  </si>
  <si>
    <t>Navi Home (RTK) is a specialized shelter designed to optimize the signal reception for RTK robots and is compatible with various satellite navigation systems. Its robust construction features sides crafted from durable aluminum composite and a sturdy PVC roof, ensuring a reliable protective haven for your RTK Robot.
Key Features:
RTK Compatibility
Simple Installation
UV-Protected Roof
Included Storm Anchors
Zero Maintenance
For a comprehensive overview of OEM numbers and product details, please refer to the additional information below.</t>
  </si>
  <si>
    <t>RTK Compatibility
Simple Installation
UV-Protected Roof
Included Storm Anchors
Zero Maintenance</t>
  </si>
  <si>
    <t>Setting up the Navi Home garage is easy and can be done in minutes. After assembly, use the provided storm anchors to secure the Navi Home garage firmly to the ground.
The top surface offers 100% signal transparency for the RTK antenna.
This design has been developed in collaboration with top-tier Husqvarna and Segway dealers, demonstrating an impeccable track record of signal retention.
The UV-protected roof is engineered to withstand adverse weather conditions, providing shelter from heavy rain and protecting your robotic lawn mower from sun-induced wear and tear.
For added convenience, the top of the garage can be opened, ensuring easy access to your robotic lawn mowers control panel. Moreover, this garage requires low maintenance.  RTK Compatibility Weight 6 kg
Dimensions 76 × 63 × 48 cm</t>
  </si>
  <si>
    <t>Navi Home (RTK) is a specialized shelter designed to optimize the signal reception for RTK robots and is compatible with various satellite navigation systems.</t>
  </si>
  <si>
    <t>Robot Shelter</t>
  </si>
  <si>
    <t>https://auto-mow.com/shopold/garages/robot-shelter/</t>
  </si>
  <si>
    <t>116*80*4</t>
  </si>
  <si>
    <t>75*55*39</t>
  </si>
  <si>
    <t>This Robot Shelter fits medium-sized robots and is easy to install within a few minutes.
This garage is a one-piece garage and it folds easily into the desired position. You fix it to the ground with 4 pegs and your installation is done. This takes no more than 1-2 minutes.
The Robot Shelter provides good protection against UV-rays, rain, wind, and other weather conditions, which normally would shorten the lifespan of the robot.
No Maintenance
Works for all small Robot Mower models
Installed in minutes
2-Year Warranty
Prolong the lifespan of the robot, with our Robot Shelter garage for all medium-sized robots.
Garage dimensions: 75cm x 55cm x 39cm</t>
  </si>
  <si>
    <t>No Maintenance
Works for all small Robot Mower models
Installed in minutes
2-Year Warranty</t>
  </si>
  <si>
    <t xml:space="preserve">Dimensions: 75cm x 55cm x 39cm
Color: Glossy Aluminium
Works for: HUSQVARNA 105, 305-310 – 315x. GARDENA R 40I – R 70 II SILENO CITY, SILENO LIFE. ROBOMOW RC, RX. STIHL or VIKING MI422 – MI422P. Ambrogio: L30, L75 – L85. HONDA  MIIMO:  40. STIGA: 528 – 530 – 550SG, M3 – M5 – M7 – 221 – 225S – 230S. CUB CADET: XR2, XR1. WOLF GARTEN LOOPO: M, S. WIPER: C6 – C8 – C12 – C16 – C20,  JXH -JXK, P – R  WIPER SRH MCCULLOCH: R600 – R1000 BOSCH INDEGO: 350 – 400 CRAMER/ GREENWORKS: RM 1000/RM1500 POWERWORXS P10 P 15 EINHEL LANDXCAPE:  LX8 LX7 YARD FORCE Amiro: – X series – Compact series  </t>
  </si>
  <si>
    <t>This Robot Shelter fits medium-sized robots and is easy to install within a few minutes.</t>
  </si>
  <si>
    <t>The Cube Large - Black</t>
  </si>
  <si>
    <t>The Cube</t>
  </si>
  <si>
    <t>https://auto-mow.com/shopold/garages/the-cube/</t>
  </si>
  <si>
    <t>114*82*11</t>
  </si>
  <si>
    <t>105*74*50</t>
  </si>
  <si>
    <t>The Cube is designed in Denmark and offers a great look for any garden.  The curtains at the front of the garage hide the robot from plain sight.
The price of this garage is affordable to all, and it blends into the garden better than plastic robot garages.
Danish design
Protective outdoor paint and oil
Great airflow
Adjustable feet
Asphalt roof
The robot is protected all year around, and the garage has great airflow. We have made the garage in 2 versions.  One for small and medium sized robots and one for large robots.
Medium – Size of door: 56cm x 35cm
Length of garage: 93cm
Large – Size of door: 65cm x 40cm
Length of garage: 104cm</t>
  </si>
  <si>
    <t>Danish design
Protective outdoor paint and oil
Great airflow
Adjustable feet
Asphalt roof</t>
  </si>
  <si>
    <t>Compatible with:
Large:
Automower: 105, Aspire R4, 305, 315X, 310, 315 Mark II, 405X, 310 MarkII, 320 Nera, 420, 440, 415X, 430X Nera, 450X Nera, 520, Gardena: All models, Robomow: All models, Ambrogio: All models exept Quad Elite, Cub cadet: All models, Bosch: All models, Honda: All models, McCulloch: Rob S600, Rob S400, R600, Stiga: All models, Cramer: All models, Medium: Automower: 105, Aspire R4, 305, 315X, 310, 315 Mark II, 405X, 310 MarkII, 415X, Gardena: All models, Robomow: RT300/RT700, RK1000, RK1000 Pro, RK2000, RK2000 Pro, Ambrogio: All models exept Quad Elite, Cub Cadet: All models, Bosch: All models, Honda: All models, McCulloch: Rob S600, Rob S400, R600, Stiga: All models, Cramer: All models</t>
  </si>
  <si>
    <t>Garage offers a great airflow through the entire garage. With curtains in front of the garage, the robot is hidden away from plain sight.</t>
  </si>
  <si>
    <t>The Cube Large - Nature</t>
  </si>
  <si>
    <t>The Cube Medium - Black</t>
  </si>
  <si>
    <t>100*72*10</t>
  </si>
  <si>
    <t>93*65*45</t>
  </si>
  <si>
    <t>103*73*10</t>
  </si>
  <si>
    <t>The Cube Medium - Nature</t>
  </si>
  <si>
    <t>Universal Garage</t>
  </si>
  <si>
    <t>https://auto-mow.com/shopold/garages/universal-garage/</t>
  </si>
  <si>
    <t>73*60*12</t>
  </si>
  <si>
    <t>82*70*46</t>
  </si>
  <si>
    <t>The UNIVERSAL GARAGE is compatible with all robots up to 5.000 m2.
The Universal garage is straightforward to assemble and includes pegs to anchor the garage to the ground.
It provides excellent protection for your robot against UV rays; which can fade the robots exterior and damage its battery.
No maintenance
Fits 90% of the robots
Tilt the top
Installs in minutes and remains maintenance-free for many years
Top-quality design
2-Year warranty
Dimensions: Width: 70cm Height: 46cm Length: 82cm</t>
  </si>
  <si>
    <t>No maintenance
Fits 90% of the robots
Tilt the top
Installs in minutes and remains maintenance-free for many years
Top-quality design
2-Year warranty</t>
  </si>
  <si>
    <t>FITS ALL ROBOTS!
Dimensions: L 82 x W 70 x H 46 cm.</t>
  </si>
  <si>
    <t>The GARAGE is compatible with all robots up to 5.000m2.</t>
  </si>
  <si>
    <t>Wooden Shelter - Wall mounted</t>
  </si>
  <si>
    <t>https://auto-mow.com/da/shop/garages/wooden-shelter-wall-mounted/</t>
  </si>
  <si>
    <t>57*58*7</t>
  </si>
  <si>
    <t>65*23*53</t>
  </si>
  <si>
    <t>Our new roof garage is perfect for those wanting to integrate the robot mower garage with the house or the shed.
The wooden shelter is easy to assemble and install. Both can be done within a few minutes.
It is a simple solution to protect the robot from the sun and prolong its lifespan.
Fits all: AL-KO, Kress Robotic, Worx Landroid
Can be assembled within minutes
Fast-growing wood, Asphalt roof
Cost efficient
Dimensions: Width: 65cm, Height: 23cm, Depth: 53cm</t>
  </si>
  <si>
    <t>Fits all: AL-KO, Kress Robotic, Worx Landroid
Can be assembled within minutes
Fast-growing wood, Asphalt roof
Cost efficient</t>
  </si>
  <si>
    <t>Fits all: AL-KO, Kress Robotic, Worx Landroid Dimensions: Width: 65cm, Height: 23cm, Depth: 53cm</t>
  </si>
  <si>
    <t>Wooden shelter is a garage that is easy to install and to intergrate with a house or shed.</t>
  </si>
  <si>
    <t>AL-KO Robolinho 1100/3100/4100 Blades - 9 pcs.</t>
  </si>
  <si>
    <t>AL-KO 1100/3100/4100</t>
  </si>
  <si>
    <t>https://auto-mow.com/shopold/accessories/blades/al-ko-robolinho-110-1100-3100-4100-blades/</t>
  </si>
  <si>
    <t>30*29*26</t>
  </si>
  <si>
    <t>9*2,5*0,6</t>
  </si>
  <si>
    <t>5,5*2,5*12,5</t>
  </si>
  <si>
    <t>120 pcs.</t>
  </si>
  <si>
    <t>Cardboard, Plastic</t>
  </si>
  <si>
    <t>At Auto-Mow we offer good quality steel for the Robolinho blades. Imported from Japan, we ensure the best quality every time.
The blades are made of a new technology, designed to eliminate breakage if it hits a rock or a hard branch during cutting. This ensures that there will not be any fragments from the blade left in the grass, making it safe to use.
The newly invented stainless steel offers a longer cutting time and will make sure that the consumers wont need to change the blades so often.
Included with the blade pack, we offer screws that have an extra hard surface and a higher quality to prevent breakage.
Best quality Safety blades
Safety Screws
Long life time
Auto-Mow offers the blades in a 6-pack replacement pack.
Fits: AL-KO Robolinho 110, 1100, 3100, 4100 Blades. (9 pcs)
Size of each blade: 93mm x 24,2mm x 1mm</t>
  </si>
  <si>
    <t>Best quality Safety blades
Safety Screws
Long life time</t>
  </si>
  <si>
    <t>Steel: Hardened Stainless steel.
Size of each blade: 93mm x 24,2mm x 1mm
Compatible with the Robolinho robot models: Robolinho 110, Robolinho 1100, Robolinho 3100, Robolinho 4100, Silent 700, Gudenaa R70</t>
  </si>
  <si>
    <t>AL-KO Stainless Steel blades has been developed with the highest regard for safety.  </t>
  </si>
  <si>
    <t>AL-KO Robolinho 1100/3100/4100 Blades -300 pcs.</t>
  </si>
  <si>
    <t>AL-KO 1100/3100/4101</t>
  </si>
  <si>
    <t>34*32*23</t>
  </si>
  <si>
    <t>93*24,2*1</t>
  </si>
  <si>
    <t>11*6,5*24,5</t>
  </si>
  <si>
    <t>5 pcs.</t>
  </si>
  <si>
    <t>AL-KO Robolinho 500-700 I/E/W Blades - 8 pcs.</t>
  </si>
  <si>
    <t>AL-KO 500/700</t>
  </si>
  <si>
    <t>https://auto-mow.com/shopold/accessories/blades/al-ko-robolinho-500-700-i-e-w-blades/</t>
  </si>
  <si>
    <t>AL-KO Stainless Steel blades has been developed with the highest regard for safety. 
The blades are made of stainless steel, designed to eliminate breakage if it hits a rock or a hard branch during cutting. This ensures that there will not be any fragments from the blade left in the grass, making it safe to use.
The stainless steel also offers a longer cutting time, and will make sure that the consumers will not need to change the blades so often.
Best quality Safety blades
Safety Screws
Long life time
We offer the blades in a 6-pack replacement package.
Fits : AL-KO Robolinho 500 I/E/W blades.
Size of each blade: 70mm x 20mm x 0,6mm</t>
  </si>
  <si>
    <t>Steel: Hardened Stainless steel.
Size for each blade: 70mm x 20mm x 0,6mm
Original part no: 127465
Compatible with the AL-KO Robolinho robot models: Robolinho 300, Robolinho 500, Robolinho 800, Robolinho 1150, Gudenaa 1000W, AL-KO Solo 450W, AL-KO Solo 700W, AL-KO Solo 1200W, AL-KO Solo 2000W</t>
  </si>
  <si>
    <t>AL-KO Robolinho 500-700 I/E/W Blades - 24 pcs.</t>
  </si>
  <si>
    <t xml:space="preserve">Ambrogio Robot Blades 4-Star - ø 25cm </t>
  </si>
  <si>
    <t>1 pc. Blade, 4 pcs. Screws.</t>
  </si>
  <si>
    <t>Ambrogio</t>
  </si>
  <si>
    <t>https://auto-mow.com/shopold/accessories/blades/ambrogio-robot-blade-o25cm/</t>
  </si>
  <si>
    <t>34*34*50</t>
  </si>
  <si>
    <t>25*0,6</t>
  </si>
  <si>
    <t>21.5*21.5*1</t>
  </si>
  <si>
    <t>100 pcs.</t>
  </si>
  <si>
    <t>Paper 100%</t>
  </si>
  <si>
    <t>Ambrogio Robot Blades with 4 and 8 stars, in size Ø 25 cm.
These blades are made of stainless steel. They are produced to last throughout an entire season, ensuring the grass looks beautiful every single day.
Auto-Mow offers these blades in Ø25cm, Ø29cm and Ø35cm, with 4 or 8 stars.
The screws for the installation is included in the package.</t>
  </si>
  <si>
    <t>L85 Evolution (Green), LB75DX, LB75, LB1200, L32 Deluxe, L60 Elite S+, L60 Elite, L85 Evolution, 4.0 Elite, 4.0 Basic, twenty 25 Elite, twenty 25 Deluxe, Wiper I140, Wiper I180S, Wiper C series, Wiper K series (excl. KXL S Ultra premium), wiper Blitz series, Wiper Trekker series, Techline L6, Techline S6, Techline Z2, Techline X2.5 series, Techline X4 series</t>
  </si>
  <si>
    <t>Ambrogio Robot Blades with 4 star, in size ø 25cm. Stainless steel.</t>
  </si>
  <si>
    <t>Ambrogio Robot Blades 4-Star - ø 29cm</t>
  </si>
  <si>
    <t>https://auto-mow.com/da/shop/blades/ambrogio/ambrogio-robot-blade-o29cm/</t>
  </si>
  <si>
    <t>29*0,6</t>
  </si>
  <si>
    <t>24*24*1</t>
  </si>
  <si>
    <t>Ambrogio Robot Blades – 4 star blades in size Ø 29 cm
These blades are made of stainless steel. The sharp edges are produced to last throughout the entire season, ensuring a clean cut and thereby a beautiful lawn.
Auto-Mow offers these blades in Ø25cm, Ø29cm and Ø35cm, with 4 or 8 stars.
The screws for the installation is included in the package.</t>
  </si>
  <si>
    <t>L400/i x3, L85 Elite (Red), LB75DX w7.5AH Battery, LB85EL, LB200EL, L200, L200-R LB75DX 7.5Ah, LB3250, LB3210, LB3200, LB2150, LB2000, Evolution, Professional, Deluxe, Ambrogio L250i, L400i Basic, L400i Deluxe, L250i Elite S+, L250i Elite, Quad Elite, twenty 29 Elite, twenty 29 Deluxe, Wiper I250, Wiper I350S, Wiper SR H, Wiper Q350 SR, Wiper Yard 101S, Wiper Yard 2000 S, Wiper F-series, Wiper Runner, Wiper Walker series, Wiper Climber series, Techline L25i, Techline S25i, Techline B40i, Techline D40i, Techline X2.9 series, Techline Q</t>
  </si>
  <si>
    <t xml:space="preserve"> Ambrogio Robot Blades with 4 star blade in size ø 29cm. Stainless steel.</t>
  </si>
  <si>
    <t>Ambrogio Robot Blades 4-Star - ø 35cm</t>
  </si>
  <si>
    <t>https://auto-mow.com/shopold/accessories/blades/ambrogio-robot-blade-o35cm/</t>
  </si>
  <si>
    <t>35*0,6</t>
  </si>
  <si>
    <t>27*27*1</t>
  </si>
  <si>
    <t>65 pcs.</t>
  </si>
  <si>
    <t>Ambrogio Robot Blades with 4 and 8 star blades in size Ø 35 cm.
These blades are made of stainless steel. The blades are produced to last throughout an entire season, ensuring the grass looks beautiful every single day.
Auto-Mow offers these blades in Ø25cm, Ø29cm and Ø35cm with 4 or 8 stars.
The screws for the installation is included in the package.</t>
  </si>
  <si>
    <t>L350i, L300 Elite, LB300EL LB3550*, LB3510*, LB3500*, 4.36 Elite, L 350i Elite, KXL S Ultra premium,  Wiper P70 S,  Techline X6</t>
  </si>
  <si>
    <t>Ambrogio Robot Blades with 4 star blade in size ø 35cm.  Stainless steel.</t>
  </si>
  <si>
    <t xml:space="preserve">Ambrogio Robot Blades 4-Star Bent - ø 18 cm </t>
  </si>
  <si>
    <t>Ambrogio Bent</t>
  </si>
  <si>
    <t>https://auto-mow.com/shop/blades/ambrogio/ambrogio-robot-blade-o18cm/</t>
  </si>
  <si>
    <t>18*18*0,7</t>
  </si>
  <si>
    <t>16*16*1</t>
  </si>
  <si>
    <t>Ambrogio Robot Blade, Bended with 4 stars, in size Ø18 cm.
These blades are made of stainless steel. They are produced to last throughout the entire season with a design that helps to provide a more even cut while reducing the risk of clogging.
The screws for the blades are included in the package.</t>
  </si>
  <si>
    <t>L15 Deluxe, Twenty Elite S+, Twenty Elite, Twenty Deluxe, Twenty ZR, Wiper I70, Wiper I100S, Wiper I130S, Wiper I100R, Wiper IKE series, Techline D1 Techline X2 series</t>
  </si>
  <si>
    <t>Bent Ambrogio Robot Blades with 4 star blade in size ø 18cm.  Stainless steel.</t>
  </si>
  <si>
    <t xml:space="preserve">Ambrogio Robot Blades 8-Star - ø 25cm </t>
  </si>
  <si>
    <t>28.5*28.5*1</t>
  </si>
  <si>
    <t>Ambrogio Robot Blades with 8 star, in size ø 25cm. Stainless steel.</t>
  </si>
  <si>
    <t>Ambrogio Robot Blades 8-Star - ø 29cm</t>
  </si>
  <si>
    <t>https://auto-mow.com/shopold/accessories/blades/ambrogio-robot-blade-o29cm/</t>
  </si>
  <si>
    <t>29*29*1</t>
  </si>
  <si>
    <t>Ambrogio Robot Blades – 8 star blades in size Ø 29 cm
These blades are made of stainless steel. The sharp edges are produced to last throughout the entire season, ensuring a clean cut and thereby a beautiful lawn.
Auto-Mow offers these blades in Ø25cm, Ø29cm and Ø35cm, with 4 or 8 stars.
The screws for the installation is included in the package.</t>
  </si>
  <si>
    <t xml:space="preserve"> Ambrogio Robot Blades with 8 star blade in size ø 29cm. Stainless steel.</t>
  </si>
  <si>
    <t>Ambrogio Robot Blades 8-Star - ø 35cm</t>
  </si>
  <si>
    <t>35*35*1</t>
  </si>
  <si>
    <t>50 pcs.</t>
  </si>
  <si>
    <t>Ambrogio Robot Blades with 8 star blade in size ø 35cm.  Stainless steel.</t>
  </si>
  <si>
    <t>Belrobotics (BIGMOW) Blades - 15 pcs.</t>
  </si>
  <si>
    <t>Belrobotics</t>
  </si>
  <si>
    <t>https://auto-mow.com/shopold/accessories/blades/belrobotics-bigmow-blades/</t>
  </si>
  <si>
    <t>4,2*1,6*0,6MM</t>
  </si>
  <si>
    <t>7,5*2*8</t>
  </si>
  <si>
    <t>156 pcs.</t>
  </si>
  <si>
    <t>cardbord, plastic</t>
  </si>
  <si>
    <t>At Auto-Mow we developed our blades with the top Belrobotics dealers in Europe. With focus on high quality for a long lasting performance on every blade.
The blades are made of a new technology, designed to eliminate breakage if it hits a rock or a hard branch during cutting. This ensures that there will not be any fragments from the blade left in the grass, making it safe to use.
The hardened steel also offers a longer cutting time, and will make sure that the consumers wont need to change the blades so often.
Auto-Mow increased the quality of the screws, to match the strength of the robots. This will avoid blades falling off during longer cutting time.
Best quality Safety blades
Safety Screws
Long lifetime
We offer replacement packs in 15 pcs // 30 pcs and 300 pcs for service centers.
Fits all Bigmow Belrobotics robot lawn mower, ECHO and Parcmow.</t>
  </si>
  <si>
    <t>Best quality Safety blades
Safety Screws
Long lifetime</t>
  </si>
  <si>
    <t>Material: Hardened stainless steel.
Size of each blade: 42,5mm x 17,5mm 0,5mm
Available in packs of 15 pcs // 30 pcs and 300 pcs for service centers.
Original part no: BR12370 (15 pcs)
Compatible with the ECHO, Belrobotics, Parcmow, Bigmow robot models</t>
  </si>
  <si>
    <t>High quality with long lasting performance on every blade.</t>
  </si>
  <si>
    <t>Belrobotics (BIGMOW) blades - 50 pcs</t>
  </si>
  <si>
    <t>Bosch/Honda HRM Robot blades - 9 pcs.</t>
  </si>
  <si>
    <t>Bosch Indigo</t>
  </si>
  <si>
    <t>https://auto-mow.com/shopold/accessories/blades/bosch-indigo-blades-9-pcs/</t>
  </si>
  <si>
    <t>5*2*0,6MM</t>
  </si>
  <si>
    <t>4,5*2,8*7</t>
  </si>
  <si>
    <t>250 pcs.</t>
  </si>
  <si>
    <t>The blades are made from the best recommended steel for robotic lawn mower cutting.
The blades are made with a new technology, designed to eliminate breakage if it hits a rock or a hard branch during cutting. This ensures that there will not be any fragments from the blade left in the grass, making it safe to use.
The Bosch Robot Blades come with screws made of hardened steel, to increase the amount of impact they can withhold, and ensure a longer lifespan of both screws and blades.
Best quality Safety blades
Safety Screws
Long lifetime</t>
  </si>
  <si>
    <t>9-pack replacement blades for Bosch indigo.
Size of each blade: 49mm x 20mm x 1mm
Original part no: F016800321 (3 pcs)
Compatible with the Bosch Indego robot models: HRM Miimo 40, HRM Miimo 40 Live, HRM Miimo 70 Live, Indego XS 300, Indego S500, Indego S+ 500, Indego M 700, Indego M+ 700</t>
  </si>
  <si>
    <t>The blades are made with a new technology, designed to eliminate breakage if it hits a rock or a hard branch during cutting.</t>
  </si>
  <si>
    <t>Honda Miimo High Quality Blades - 300 pcs.</t>
  </si>
  <si>
    <t>Honda Miimo</t>
  </si>
  <si>
    <t>https://auto-mow.com/shopold/accessories/blades/honda-miimo-blade/</t>
  </si>
  <si>
    <t>43*32*23</t>
  </si>
  <si>
    <t>39,2*18*0,5MM</t>
  </si>
  <si>
    <t>10 pcs.</t>
  </si>
  <si>
    <t>Plastic 95% paper 5%</t>
  </si>
  <si>
    <t>The Auto-Mow Original Honda Miimo blades have an extra hard coating that gives a better protection for the blades.
Blades with high sharpness
Low noise
High strength
Long lifespan.</t>
  </si>
  <si>
    <t>Blades with high sharpness
Low noise
High strength
Long lifespan.</t>
  </si>
  <si>
    <t>Material: Stainless Steel
9 pcs or 300 pcs.
Original part no:
Compatible with the Honda Miimo robot models: HRM Miimo 310, HRM Miimo 520, HRM Miimo 3000</t>
  </si>
  <si>
    <t>The Auto-Mow Original Honda Miimo stainless steel blades with an extra hard coating that gives better protection for the blades.</t>
  </si>
  <si>
    <t>Honda Miimo High Quality Blades 9 pcs.</t>
  </si>
  <si>
    <t>4,5*5*4</t>
  </si>
  <si>
    <t>132 pcs.</t>
  </si>
  <si>
    <t>Husqvarna Endurance Blades 0,63mm - 3 pcs.</t>
  </si>
  <si>
    <t>https://we.tl/t-PxlGfjhwCl</t>
  </si>
  <si>
    <t>https://auto-mow.com/shopold/accessories/blades/a-m-endurance-blade/</t>
  </si>
  <si>
    <t>35,8*18,5*0,63MM</t>
  </si>
  <si>
    <t>4,5*5*3</t>
  </si>
  <si>
    <t>450 pcs.</t>
  </si>
  <si>
    <t>Plastic 55% cardboard 45%</t>
  </si>
  <si>
    <t>Our latest blade model from Auto-Mow, that offers the new swing technology!
100% more cutting with the new swing technology
Same high quality as the “Long life Safety blades”</t>
  </si>
  <si>
    <t>100% more cutting with the new swing technology
Same high quality as the “Long life Safety blades”</t>
  </si>
  <si>
    <t>Original part no: 595 08 44-01 (6pcs), 595 08 44-03  (300 pcs)</t>
  </si>
  <si>
    <t>High quality blades, which includes the new swing technology that can mow up to 100% more! Fits all Husqvarna Automowers.</t>
  </si>
  <si>
    <t xml:space="preserve">Husqvarna Endurance Blades 0,63mm - 30 pcs. </t>
  </si>
  <si>
    <t>Husqvarna Endurance</t>
  </si>
  <si>
    <t>4*3*7</t>
  </si>
  <si>
    <t>Husqvarna Endurance Blades 0,63mm - 300 pcs.</t>
  </si>
  <si>
    <t>Husqvarna Endurance Blades 0,63mm - 9 pcs.</t>
  </si>
  <si>
    <t>300 pcs.</t>
  </si>
  <si>
    <t>Husqvarna Extreme Safety Blade 0,75mm - 30 pcs.</t>
  </si>
  <si>
    <t>Extreme Safety</t>
  </si>
  <si>
    <t>https://auto-mow.com/shopold/accessories/blades/extreme-long-life-safety-blades-40-more-cutting/</t>
  </si>
  <si>
    <t>35*18*0,75MM</t>
  </si>
  <si>
    <t>7,5*4,5*3</t>
  </si>
  <si>
    <t>140 pcs.</t>
  </si>
  <si>
    <t>Plastic 80% Paper board 20%</t>
  </si>
  <si>
    <t>Extreme Long Life Safety Blades mow up to 40% more than traditional long-life safety blades.
These high-quality blades are designed to eliminate breakage if it hits a rock or a hard branch during cutting, therefore preventing blade debris from being scattered on the lawn.
The Extreme Long Life Safety Blade can be used for ALL auto mowers. The blade’s durability ensures, you won’t be changing blades too often.
These blades come in packs of 9 or 300 pieces for service centers.</t>
  </si>
  <si>
    <t>40% more cutting</t>
  </si>
  <si>
    <t>Including anodized screws (cross + slot)
Works for all Husqvarna Automower and Gardena robotic lawnmower models:105, G1, G2, Solar Hybrid, 220AC, 230ACX, 260ACX, 265ACX, 305, 308, 310, 315, 320, 330ACX,420, 430X, 440, 450X, R38Li, R40Li, R45Li, R50Li, R70Li, R75Li, R80Li, R100Li, R130Li, R160Li, R165, R180, Sileno, smart Sileno, Sileno +, smart Sileno + and all other Husqvarna models.</t>
  </si>
  <si>
    <t>Extreme Long Life Safety Blades mows up to 40% more than traditional long-life safety blades. The blades are deisgned to eliminate breakage, and fits all Husqvarna Automowers.</t>
  </si>
  <si>
    <t>Husqvarna Extreme Safety Blade 0,75mm - 300 pcs.</t>
  </si>
  <si>
    <t>35*18*0.75MM</t>
  </si>
  <si>
    <t>Paper board</t>
  </si>
  <si>
    <t>Husqvarna Extreme Safety Blade 0,75mm - 9 pcs.</t>
  </si>
  <si>
    <t>Husqvarna Long Life Safety Blades 0,6mm - 30 pcs.</t>
  </si>
  <si>
    <t>Long Life Safety</t>
  </si>
  <si>
    <t>https://auto-mow.com/shopold/accessories/blades/long-life-safety-blades-original/</t>
  </si>
  <si>
    <t>35*18*0,6MM</t>
  </si>
  <si>
    <t>Long Life Safety blades 0,6mm for ALL Husqvarna Automowers.
The Long Life Safety blades are made of a new technology, designed to eliminate breakage if it hits a rock or a hard branch during cutting. Preventing any blade debris from being scattered on the lawn.
The newly evented stainless steel also offers a longer cutting time, and will make sure that the consumers will not need to change the blades so often.
The screws have an extra hard coating, enhansing the lifespan of the product.
These blades come in packs of 9 or 300 pieces for service centers.</t>
  </si>
  <si>
    <t>Including anodized screws (cross + slot)
Works for all Husqvarna Automower and Gardena robotic lawnmower models:
105, G1, G2, Solar Hybrid, 220AC, 230ACX, 260ACX, 265ACX, 305, 308, 310, 315, 320, 330ACX,
420, 430X, 440, 450X, R38Li, R40Li, R45Li, R50Li, R70Li, R75Li, R80Li, R100Li, R130Li, R160Li, R165, R180, Sileno, smart Sileno, Sileno +, smart Sileno + and all other Husqvarna models.
DIN EN 50636 certified!
Original part no: 577 86 46-03 (9 pcs), 577 60 66-04 (300 pcs)</t>
  </si>
  <si>
    <t>Long Life Safety Blades are made of a new technology, designed to eliminate breakage. Fits all Husqvarna Automowers.</t>
  </si>
  <si>
    <t>Husqvarna Long Life Safety Blades 0,6mm - 300 pcs.</t>
  </si>
  <si>
    <t>Husqvarna Long Life Safety Blades 0,6mm - 9 pcs.</t>
  </si>
  <si>
    <t>5.5*4,5*3</t>
  </si>
  <si>
    <t>Robomow Blades RS - 1 pc.</t>
  </si>
  <si>
    <t xml:space="preserve">RS </t>
  </si>
  <si>
    <t>https://auto-mow.com/shopold/accessories/blades/robomow-rs-blade/</t>
  </si>
  <si>
    <t>54*48*46</t>
  </si>
  <si>
    <t>23,5*1</t>
  </si>
  <si>
    <t>23,5*23,5*5</t>
  </si>
  <si>
    <t>Auto-Mows original Robomow RS stainless steel blades comes with an extra hard coating, providing better protection for the blades.
The blades are  easy to place on the robot, and comes in a sleak and modern design. Auto-Mow offers 1 or 2 unit packs of spare blades for Robomow RS.
1, 2 or 25 Blades
The blade is compatible with the Robomow robot lawn mower RS, RC, TS and MS series models
Material: Stainless Steel</t>
  </si>
  <si>
    <t xml:space="preserve">
1, 2 or 25 Blades
The blade is compatible with the Robomow robot lawn mower RS, RC, TS and MS series models
Material: Stainless Steel</t>
  </si>
  <si>
    <t>Material: Stainless Steel
Original part nr: 1 pack – MRK6101A  2 pack – MRK7003A
Compatible with the Robomow robot models: RC312, RC308, RC304, RS635, RS625, RS615</t>
  </si>
  <si>
    <t>Auto-Mow original Robomow RS stainless steel blades comes with an extra hard coating, providing better protection for the blades. Fits all Robomow RS models.</t>
  </si>
  <si>
    <t>Robomow Blades RS - 2 pcs.</t>
  </si>
  <si>
    <t>Robomow Blades RS - 25 pcs.</t>
  </si>
  <si>
    <t>25 pcs.</t>
  </si>
  <si>
    <t>51*37*32</t>
  </si>
  <si>
    <t>Robomow Blades RX/RT (small Robomow)</t>
  </si>
  <si>
    <t>RX</t>
  </si>
  <si>
    <t>https://auto-mow.com/shopold/accessories/blades/robomow-rx-blade/</t>
  </si>
  <si>
    <t>19*6*2</t>
  </si>
  <si>
    <t>19*5,5*1,5</t>
  </si>
  <si>
    <t>220 pcs.</t>
  </si>
  <si>
    <t>Auto-Mow original Robomow RX stainless steel blades comes with an extra hard coating, providing better protection for the blades.
The blade is compatible with the Robomow robot lawn mower RX series models.
Includes replacement blade and tools to ensure secure replacement
The blade is compatible with the Robomow robot lawn mower RX series models
Material: Stainless Steel
Size: L: 18cm W: 4,5cm</t>
  </si>
  <si>
    <t>Includes replacement blade and tools to ensure secure replacement
The blade is compatible with the Robomow robot lawn mower RX series models
Material: Stainless Steel
Size: L: 18cm W: 4,5cm</t>
  </si>
  <si>
    <t>Material: Stainless Steel
Original part nr: 122-102-619
Compatible with the Robomow robot models: RT300, RT700, RX 12U, RX20U and RX50</t>
  </si>
  <si>
    <t>Auto-Mow original Robomow RX stainless steel blades comes with an extra hard coating, providing better protection for the blades. Compatible with the Robomow robot models: RT300, RT700, RX 12U, RX20U and RX50.</t>
  </si>
  <si>
    <t>Robomow RK Blades - 8 pcs.</t>
  </si>
  <si>
    <t>RK</t>
  </si>
  <si>
    <t>https://auto-mow.com/shop/blades/robomow/robomow-rk-blade/</t>
  </si>
  <si>
    <t>32*1,8*6</t>
  </si>
  <si>
    <t>4,5*5*3,5</t>
  </si>
  <si>
    <t>Auto-Mow original Robomow RK stainless steel blades comes with an extra hard coating, providing better protection for the blades.
The blade is compatible with all the Robomow RK series.
Package contains 8 pcs.
Includes replacement blades and screws.
The blade is compatible with the Robomow robot lawn mower RK series models</t>
  </si>
  <si>
    <t>Includes replacement blades and screws.
The blade is compatible with the Robomow robot lawn mower RK series models</t>
  </si>
  <si>
    <t>Size: 25,5 x 23,5 x 100mm
Compatible with the Robomow robot models: RK1000, RK1000 Pro, RK2000, RK2000 Pro, RK3000 Pro, RK4000 Pro</t>
  </si>
  <si>
    <t xml:space="preserve">Auto-Mow original Robomow RK stainless steel blades comes with an extra hard coating, providing better protection for the blades. The blades are compatible with all the Robomow RK series. </t>
  </si>
  <si>
    <t>Stihl IMow Blade – 4-Series - 20cm</t>
  </si>
  <si>
    <t>Stihl</t>
  </si>
  <si>
    <t>https://auto-mow.com/shopold/accessories/blades/stihl-viking-imow-small-blades-rmi-4-series-20-cm/</t>
  </si>
  <si>
    <t>22*10*10</t>
  </si>
  <si>
    <t>20*3*1,8</t>
  </si>
  <si>
    <t>20*3*1,9</t>
  </si>
  <si>
    <t>Our blades for STIHL and VIKING iMOW are made of the highest quality stainless steel and coated with an extreme long-lasting protection.</t>
  </si>
  <si>
    <t>Original part nr: 6301-702-0101
Compatible with STIHL / VIKING iMOW robot models: Stihl RMI 422, Stihl RMI 422 P, Stihl RMI 422 PC, Stihl RMI 522 C, Viking iMOW MI 4 Serie</t>
  </si>
  <si>
    <t>Our Quality blades for STIHL and VIKING iMOW are made of the highest quality stainless steel and coated with an extremely long-lasting protection. Fits all RMI 4 models from Stihl/VIKING.</t>
  </si>
  <si>
    <t>Stihl IMow Blade – 6-Series - 30cm</t>
  </si>
  <si>
    <t xml:space="preserve"> 1 pcs.</t>
  </si>
  <si>
    <t>https://auto-mow.com/shopold/accessories/blades/stihl-viking-imow-large-blades-rmi-6-series-30-cm/</t>
  </si>
  <si>
    <t>50*40*30</t>
  </si>
  <si>
    <t>30*3*1,8</t>
  </si>
  <si>
    <t>37*7*3</t>
  </si>
  <si>
    <t>80 pcs.</t>
  </si>
  <si>
    <t>Original part nr: ALM 030
Compatible with STIHL / VIKING iMOW robot models: Stihl RMI 632, Stihl RMI 632 P, Stihl RMI 632 C, Stihl RMI 632 PC, Viking MI 632, Viking MI 632 P, Viking MI 632 C, Viking MI 632 PC</t>
  </si>
  <si>
    <t>Our Quality blades for STIHL and VIKING iMOW are made of the highest quality stainless steel and coated with an extremely long-lasting protection. Fits all RMI 6 models from Stihl/VIKING.</t>
  </si>
  <si>
    <t>Stihl iMow Blade KIT - 6-Series - 30cm</t>
  </si>
  <si>
    <t>https://auto-mow.com/shopold/accessories/blades/stihl-viking-imow-assembly-kit-for-blades/</t>
  </si>
  <si>
    <t>31*31.5*3</t>
  </si>
  <si>
    <t>60 pcs.</t>
  </si>
  <si>
    <t>This is a complete original replacement set for STIHL / VIKING iMOW. This kit includes all the necessary accessories required to change the blades in the STIHL / VIKING iMOW Series 6.
Manufacturer number: 69090071022, 63097609701, 63097609700
Installed in: STIHL / VIKING MI 632, MI 632 P, MI 632 C, MI 632 PC, STIHL RMI 632, RMI 632 P, RMI 632 C, RMI 632 PC
Box contents: 1 x knife holder (catcher) with a mounting disc (knife screw).
iMOW knife holder including mounting disc for ALM 030</t>
  </si>
  <si>
    <t>Manufacturer number: 69090071022, 63097609701, 63097609700
Installed in: STIHL / VIKING MI 632, MI 632 P, MI 632 C, MI 632 PC, STIHL RMI 632, RMI 632 P, RMI 632 C, RMI 632 PC
Box contents: 1 x knife holder (catcher) with a mounting disc (knife screw).
iMOW knife holder including mounting disc for ALM 030</t>
  </si>
  <si>
    <t>Original part nr: 6909-007-1022
Compatible with STIHL / VIKING iMOW robot models: RMI 632, RMI 632P, RMI 632C, RMI 632PC</t>
  </si>
  <si>
    <t>This is a complete original replacement set for STIHL/VIKING iMOW. Includes all the necessary accessories required to change the blades in the STIHL/VIKING iMOW Series 6. </t>
  </si>
  <si>
    <t>Stihl iMOW EVO Premium Blades – 30 pcs.</t>
  </si>
  <si>
    <t>https://we.tl/t-XAMYzxLP4M</t>
  </si>
  <si>
    <t>33*12*0,7</t>
  </si>
  <si>
    <t>The STIHL iMOW Evo Blades are made for the robot by the same name.
They are designed to eliminate breakage if the robot hits a rock or a hard branch during cutting. Preventing any blade debris from being scattered on the lawn.
Stainless steel offers a longer cutting time, and will make sure that the owner of the robot will not need to change the blades so often.
These blades come in packs of 9 pcs, 30 pcs, or 300 pcs for service centers.</t>
  </si>
  <si>
    <t>Fitting Stihl models: iMOW 5/ iMOW 5 EVO/ iMOW 6/ iMOW 6 EVO/ iMOW 7/ iMOW 7 EVO</t>
  </si>
  <si>
    <t>They are designed to eliminate breakage if the robot hits a rock or a hard branch during cutting. Preventing any blade debris from being scattered on the lawn.
Stainless steel offers a longer cutting time, and will make sure that the owner of the robot will not need to change the blades so often.
These blades come in packs of 9 pcs, 30 pcs, or 300 pcs for service centers.</t>
  </si>
  <si>
    <t>Stihl iMOW EVO Premium Blades – 300 pcs.</t>
  </si>
  <si>
    <t>Stihl iMOW EVO Premium Blades – 9 pcs.</t>
  </si>
  <si>
    <t>Stihl Imow RMI 6 – 28cm</t>
  </si>
  <si>
    <t>https://auto-mow.com/shopold/accessories/blades/stihl-viking-imow-large-blades-rmi-6-series-30-cm-2/</t>
  </si>
  <si>
    <t>30*10*10</t>
  </si>
  <si>
    <t>28*3*2</t>
  </si>
  <si>
    <t>28*3*3</t>
  </si>
  <si>
    <t>Plastic 100%</t>
  </si>
  <si>
    <t>Original part nr: 6309-702-0101
Compatible with STIHL / VIKING iMOW robot models:  Stihl RMI 632, Stihl RMI 632 P, Stihl RMI 632 C, Stihl RMI 632 PC, Viking MI 632, Viking MI 632 P, Viking MI 632 C, Viking MI 632 PC,</t>
  </si>
  <si>
    <t>Worx Blades (all models) - 12 pcs.</t>
  </si>
  <si>
    <t>Worx</t>
  </si>
  <si>
    <t>https://auto-mow.com/shopold/accessories/blades/worx-blades-12-pcs-all-models/</t>
  </si>
  <si>
    <t>3,5*2,5*0,8MM</t>
  </si>
  <si>
    <t>4,5*2,5*5</t>
  </si>
  <si>
    <t>Worx blades from Auto-Mow last longer because of the hardened steel. Worx blades have a special sharpening technique, which sharpens the blades while the blades are cutting the grass.
The hardened steel is designed to eliminate breakage if the blade hits a rock or a hard branch during cutting. This also ensures that there will not be any fragments from the blade left in the grass, making it safe to use.
The newly invented stainless steel offers a longer cutting time, and will make sure that the consumers will not need to change the blades so often.
Best quality Safety blades
Safety Screws
Long life blades
They fit all Worx models.</t>
  </si>
  <si>
    <t>Best quality Safety blades
Safety Screws
Long life blades</t>
  </si>
  <si>
    <t>Steel: Stainless steel
Size of blade: 36mm x 18mm x 0,5mm
Original part no: WA0190
Compatible with the WorX robot models: S300, M500, M700, M500 plus, M700 Plus, L1000, L2000, M800</t>
  </si>
  <si>
    <t>Worx blades have a special sharpening technique, which sharpens the blades while the blades are cutting the grass. The blades are made of hardened steel which eliminates breakage. Fits all Worx models.</t>
  </si>
  <si>
    <t>Worx Blades (all models) - 300 pcs.</t>
  </si>
  <si>
    <t>Installation Kit - L</t>
  </si>
  <si>
    <t>Installation Kit</t>
  </si>
  <si>
    <t>53*29*38</t>
  </si>
  <si>
    <t>52*10*12</t>
  </si>
  <si>
    <t>53*28*12</t>
  </si>
  <si>
    <t>3 pcs.</t>
  </si>
  <si>
    <t>The installation kits are available in X-Small / Small / Medium / Large and XL. The kits contain an “all in one” solution for a robot installation.
The installation kits contain boundary cable, Bio Pegs, and connectors. The Bio Pegs are biodegradable; when placed in the earth, they will become compost within a 2-year timeframe. Furthermore, the new version of the installation kit comes with a black cable instead of a green one, enhancing the lifespan of the wire by protecting against UV light from the sun.
The kits come in 5 sizes:
X-Small: 100 meter cable, 100 Pcs Bio Pegs, 2 cable connectors, 2 docking station connectors
Small: 150 meter cable, 300 Pcs Bio Pegs, 5 cable connectors, 5 spade connectors
Medium: 250 meter cable, 400 Pcs Bio Pegs, 5 cable connectors, 5 spade connectors
Large: 400 meter cable, 600 Pcs Bio Pegs, 5 cable connectors, 5 spade connectors
XL: 500 meter cable, 800 Pcs Bio Pegs, 5 cable connectors, 5 spade connectors
You have the possibility to get the installation kit with safety cable instead of standard cable. All installation kits can be used for any robotic lawn mower installation.</t>
  </si>
  <si>
    <t>Installation kit sizes:
X-Small: 100 meter cable, 100 Pcs Bio Pegs, 2 cable connectors, 2 docking station connectors
Small: 150 meter cable, 300 Pcs Bio Pegs, 5 cable connectors, 5 docking station connectors
Medium: 250 meter cable, 400 Pcs Bio Pegs, 5 cable connectors, 5 docking station connectors
Large: 400 meter cable, 600 Pcs Bio Pegs, 5 cable connectors, 5 docking station connectors
XL: 500 meter cable, 800 Pcs Bio Pegs, 5 cable connectors, 5 docking station connectors
Works for:
All robotic lawn mowers.
Original part no: Small 967 97 21-01, Medium 967 97 22-01, Large 967 97 23-01
Installation kits with safety cable:
All installation kits containing safety cables are packed in our warehouse and come in Auto-mow cardboard boxes.</t>
  </si>
  <si>
    <t>Everything needed for a new installation.</t>
  </si>
  <si>
    <t>Installation Kit - M</t>
  </si>
  <si>
    <t>46*28*38</t>
  </si>
  <si>
    <t>44*27*13</t>
  </si>
  <si>
    <t>46*28*12</t>
  </si>
  <si>
    <t>Installation Kit - S</t>
  </si>
  <si>
    <t>39*21*38</t>
  </si>
  <si>
    <t>38*20*12</t>
  </si>
  <si>
    <t>39*21*12</t>
  </si>
  <si>
    <t>Installation Kit - XL</t>
  </si>
  <si>
    <t>-</t>
  </si>
  <si>
    <t>58*23*17</t>
  </si>
  <si>
    <t>22,5*36*35</t>
  </si>
  <si>
    <t>Installation kit - XS</t>
  </si>
  <si>
    <t>14,5*30*30</t>
  </si>
  <si>
    <t>14,5*30*10</t>
  </si>
  <si>
    <t>4 pcs.</t>
  </si>
  <si>
    <t>Repair Kit 25m</t>
  </si>
  <si>
    <t>Repair Kit</t>
  </si>
  <si>
    <t>https://auto-mow.com/shopold/boundary-cable/repair-kit/</t>
  </si>
  <si>
    <t>30*30*20</t>
  </si>
  <si>
    <t>10*10*10</t>
  </si>
  <si>
    <t>Repair Kits – Repair any broken cable with this complete set of cable, connectors and plastic pegs.
You can also use the 5 or 25 meters of cable to include an extra part of the garden to the existing installation area.
Auto-Mow offer 3 sizes of repair kit:
5 meters cable, 10 plastic pegs, 5 connectors.
25 meters cable, 10 plastic pegs, 5 connectors.
50 meters cable, 20 plastic pegs, 10 connectors.
Fits any robotic lawn mower
All repair kits containing safety cable are packed in our warehouse and come in Auto-mow cardboard boxes.</t>
  </si>
  <si>
    <t>5 meters cable, 10 Plastic pegs, and 5 Connectors.
25 meters cable, 10 Plastic pegs, and 5 Connectors.
50 meters cable, 20 Plastic pegs, and 10 Connectors.
Used for repairs or to add an extra part of the garden to the total installation.
Works for all robotic lawn mowers
Original part no: 597 53 95-01 (5 m)
You have the possibility to get the repair kit with safety cable instead of standard cable. All repair kits can be used for any robotic lawn mowers.</t>
  </si>
  <si>
    <t>Repair any broken cable with this complete set of 25m cable, 5 connectors and 10 plastic pegs.</t>
  </si>
  <si>
    <t>Repair Kit 50m</t>
  </si>
  <si>
    <t>22*24*16</t>
  </si>
  <si>
    <t>11*8,5*16</t>
  </si>
  <si>
    <t>6 pcs.</t>
  </si>
  <si>
    <t>Repair any broken cable with this complete set of 50m cable,5 connectors and 10 plastic pegs.</t>
  </si>
  <si>
    <t>Hybrid Grass – 1x 20m</t>
  </si>
  <si>
    <t>Hybrid Grass</t>
  </si>
  <si>
    <t>https://auto-mow.com/shop/hybrid-grass/am-hybrid-grass/</t>
  </si>
  <si>
    <t>100*2500*0,2</t>
  </si>
  <si>
    <t>color box</t>
  </si>
  <si>
    <t>The Hybrid grass by Auto-mow will improve the grip of the robotic lawnmowers and make your lawn flawless.
Every garden is unique, but there are lawn areas where we highly recommend using hybrid grass:
Under the docking station and just in front of the docking area.
Inside garage.
Steep slopes to avoid the sliding of the robot
Areas where the grass is worn and not looking healthy
AM Hybrid grass gives natural grass the opportunity to recover and grow through the mesh. The Hybrid grass ensures that the robot does not get stuck anywhere on the lawn, allowing the robot to cut the entire lawn – all season.</t>
  </si>
  <si>
    <t>Under the docking station and just in front of the docking area.
Inside garage.
Steep slopes to avoid the sliding of the robot
Areas where the grass is worn and not looking healthy</t>
  </si>
  <si>
    <t>Auto-Mow recommends using bio pegs to attach hybrid grass to the ground.  The bio pegs will decompose in 2-3 years, by which time the grass will have fastened itself to the ground.</t>
  </si>
  <si>
    <t>Hybrid Grass adds great structure to your docking station and installation. It will blend in over time.</t>
  </si>
  <si>
    <t>AM Pro Tracker - Plus</t>
  </si>
  <si>
    <t>1 pc. Transmitter, 1 pc. Receiver, 1 pc. Grounding Rod, 1 pc. Bag.</t>
  </si>
  <si>
    <t>https://auto-mow.com/shop/tools/trackers/am-pro-tracker-plus/</t>
  </si>
  <si>
    <t>25*30*40</t>
  </si>
  <si>
    <t>16*22*6</t>
  </si>
  <si>
    <t>18*25*6,5</t>
  </si>
  <si>
    <t>15 pcs.</t>
  </si>
  <si>
    <t>AM Pro Tracker Plus – Can locate wire breaks down to a depth of 2 meters and is a must-have for any professional installer.
Stop using hours searching for broken cables with traditional trackers.  With AM Pro Tracker Plus your job repairing broken boundary cables has become must faster and simpler.
Auto-Mow researched the market to find the best user-friendly tracker, which can easily track any partial or fully broken underground cable.
The display shows you where the cable is, and you follow the sound and the signal graphic on the display of the receiver to locate the break.
 Max. cable length: 2.000 m
 Works for all cables
 Easy setup
 Customized display that improves useability
 Multiple track options
 Earth-Rod included
USB Rechargeable
Includes:
Transmitter – that is to be attached to the boundary cable
Receiver – Locates breaks along the boundary cable
Earth-rod – To be inserted into the ground and attached to the transmitter</t>
  </si>
  <si>
    <t>Max. cable length: 2.000 m
 Works for all cables
 Easy setup
 Customized display that improves useability
 Multiple track options
 Earth-Rod included
USB Rechargeable</t>
  </si>
  <si>
    <t>Detects broken cables and partial breaks in all cables in the wall and underground;
Detects fuses and assigning current circuits;
The transmitter is integrated with the function of AC/DC voltmeter, which
can measure
12 to 400V AC/DC voltage on a linear basis:
AC: 12 ~ 400V (50 to 60 Hz) ± 2.5%
DC: 12∼400V ±2.5%
The screen of the transmitter can display preset transmitting power,
transmitted codes, its battery energy, mains voltage detected, AC/DC
status of mains voltage detected, and warning symbol for mains voltage.
The transmitter has the function of self-inspection to detect its working
status and to display it on the LCD screen for user reference.
The screen of the receiver can display the transmitting power of the
transmitter, transmitted codes, the energy of the transmitter, and its
batteries, AC voltage induced signal detected, and warning symbol for mains
voltage.
The sensitivity of the receiver can be adjusted either manually or automatically.
The receiver can sweep frequency automatically.
Both the transmitter and the receiver can work under mute mode.
The receiver is available with automatic shutdown (It is powered off
automatically over 15 minutes of the absence of a keystroke).
The receiver’s LCD screen is provided with a backlight for application in poor light.
Both the transmitter and the receiver are provided with a flashlight function when
working in darkness.
Compactness, durability, and portability.</t>
  </si>
  <si>
    <t>A-M Pro tracker can locate wire breaks down to a depth of 2 meters and is a must-have for any professional installer. Can track up to 2km of cable.</t>
  </si>
  <si>
    <t xml:space="preserve">AM Wire Stripper 5in1  </t>
  </si>
  <si>
    <t>AM Wire Stripper</t>
  </si>
  <si>
    <t>https://auto-mow.com/shopold/other/wire-stripper-5in1/</t>
  </si>
  <si>
    <t>28,5*14*19</t>
  </si>
  <si>
    <t>27*13*1</t>
  </si>
  <si>
    <t>Plastic 60% Paperboard 40%</t>
  </si>
  <si>
    <t xml:space="preserve">No matter the task, the 5in1 wire-stripper will do the job.  it is a must-have for our special 3-layer Impact Safety Cable.
Use the stripper to strip off the outer plastic layer of our standard cable or use it on our special safety cable. The multi-function feature makes sure that you only need 1 tool when you handle any cable, no matter its size. The crimping function is often used for the docking station connection. The 5in1 wire stripper is the most preferred tool of our installers!
Grip adjuster
Cable Stripping
Cable Crimping
Multipurpose stripping function
Cutting
Self-adjusted to fit any cable type.
– Please note that the round metal adjuster at the head of the tool, is used to adjust the grip of the tool. Adjust to max (+), for best possible grip. </t>
  </si>
  <si>
    <t>Grip adjuster
Cable Stripping
Cable Crimping
Multipurpose stripping function
Cutting
Self-adjusted to fit any cable type.</t>
  </si>
  <si>
    <t>Self Adjusting – Comes with self-adjusting jaws best for copper and aluminium cables from 0.2-6MM2.
Clever Design – Plastic &amp; cushion grip handle, provides maximum leverage (PP&amp; TPR) and increased comfort and reduced hand fatigue making the grip Self Adjusting. Wire Stripping Tool perfect for big or small jobs.
Multi-Functional – Specially designed and precisely machined teeth grabs, holds, pulls and removes outer cover in a simple one-handed motion; Also a wire crimping tool (crimper) which crimps insulated and non-insulated automotive ignition terminals
Stripping: Designed stripping pliers lightweight, comfort of use.
Crimping: For crimping insulated and non-insulated terminals.
Specifications:
Material: Alloy Steel Jaws
Size: 28 x 12 x 3cm
Colour: As the picture show</t>
  </si>
  <si>
    <t xml:space="preserve"> The A-M Wire Stripper has 5 functions: Cable Stripping, Cable Crimping, Multipurpose stripping function, Cutting, Self-adjusted to fit any cable type.</t>
  </si>
  <si>
    <t>Basic Tracker</t>
  </si>
  <si>
    <t>1 pc. Sender, 1 pc. Reciever, 1 pc. Bag.</t>
  </si>
  <si>
    <t>https://auto-mow.com/shopold/accessories/trackers/basic-cable-tracker/</t>
  </si>
  <si>
    <t>55*46*27</t>
  </si>
  <si>
    <t>29*13*4</t>
  </si>
  <si>
    <t>40 pcs.</t>
  </si>
  <si>
    <t>The Basic Cable Tracker works for cables above the ground.
This tracker can locate up to 10 km of cable. You need to hold the tracker on the wire, for it to detect the cable.
The tracker can also be used, if you dig up the buried cable. However, we recommend using our Pro tracker for cables underground.</t>
  </si>
  <si>
    <t>The Basic Cable Tracker works for cables above the ground.</t>
  </si>
  <si>
    <t xml:space="preserve">Extra Heat Gun Battery: 18v 4AH </t>
  </si>
  <si>
    <t>1 pc. 4AH Lithium Battery</t>
  </si>
  <si>
    <t>Heat Gun</t>
  </si>
  <si>
    <t>https://auto-mow.com/shop/tools/heat-gun/heat-gun/</t>
  </si>
  <si>
    <t>30*20*30</t>
  </si>
  <si>
    <t>10*5*14</t>
  </si>
  <si>
    <t>10*5*15</t>
  </si>
  <si>
    <t>24 pcs.</t>
  </si>
  <si>
    <t>Extra lithium battery for the AM Heatgun.</t>
  </si>
  <si>
    <t>Heat Gun - 4AH Lithium Battery</t>
  </si>
  <si>
    <t>1 pc. Heat Gun, 1 pc. 4AH Battery, 1 pc. Battery Charger, 3 pcs. Nozzles.</t>
  </si>
  <si>
    <t>https://auto-mow.com/shopold/other/heat-gun/</t>
  </si>
  <si>
    <t>40*40*30</t>
  </si>
  <si>
    <t>15*20*4,5</t>
  </si>
  <si>
    <t>17*20*18,5</t>
  </si>
  <si>
    <t>If you want to be sure to bring the best tool for any repair or installation of a robot lawn mower, then you need our AM Portable Heat Gun.
This product has been designed to make repairs on boundary cable in any garden at any location.
You can do over 30 repairs on one battery charge, and you are ensuring the best quality connection if you use our Pro Heat Shrink Kit for Repairs for connection of 2 wires.
The heat gun runs on 18 volt power and the 4AH battery will help you provide a powerful and long lasting heat blow. The max temperature is 550°C. and is the perfect adjusted temperature for all heat shrink connectors.
A must have for a Robotic Mower Installer
Cordless performance with Lithium batteries
Repair over 30 boundary wires on one charge
Can be used to connect any Robot Mower cable
You will quickly find that the AM Heat gun is your best friend in the outdoor field if you need to use heat shrink, heat sleeves, tin or electrical tape.</t>
  </si>
  <si>
    <t>A must have for a Robotic Mower Installer
Cordless performance with Lithium batteries
Repair over 30 boundary wires on one charge
Can be used to connect any Robot Mower cable</t>
  </si>
  <si>
    <t>Battery: 4AH lithium battery
Power: 18v DC
Rated current: 15A
Max temp: 550 C.
Max airflow: 200L/min
Runs per charge: 16,5min</t>
  </si>
  <si>
    <t>This product has been designed to make repairs on boundary cable in any garden at any location. Used for our Heat shrink Connectors and tubes.</t>
  </si>
  <si>
    <t>https://auto-mow.com/da/shop/hybrid-grass/am-hybrid-grass/</t>
  </si>
  <si>
    <t>21*27*9</t>
  </si>
  <si>
    <t>80*80*0,2</t>
  </si>
  <si>
    <t>Auto-Mow recommends using bio pegs to attach hybrid grass to the ground.  The bio pegs will decompose in 2-3 years, by which time the grass will have fastened itself to the ground.
Dimensions: 80 cm x 80 cm</t>
  </si>
  <si>
    <t xml:space="preserve">
Cable machine Portable winch 600MH</t>
  </si>
  <si>
    <t>1 pc. Gas driven cable machine.</t>
  </si>
  <si>
    <t>Cable Machine</t>
  </si>
  <si>
    <t>https://auto-mow.com/shop/tools/cable-machines/portable-winch-cable-machine-pwm600mh/</t>
  </si>
  <si>
    <t>56*46*125</t>
  </si>
  <si>
    <t>The gasoline powered 600MH Perimeter Wire Machine has been designed by professionals to optimize the work of robotic mower installers.
It can install wire from all robot manufacturers with the configurable wire reel support and supports up to 1.000 meter rolls for Auto-Mow.
Installs 600 meter per hour
Installs 4-6 cm underground
Powerful 4 stroke honda GXH50 Engine, 2,1HP
Supports wire size up to 4mm (up to 6mm and up to 10mm with additional accessories)
Spools up to: 1.000 meters
Reversible hardened steel blade that can handle all underground obstacles (stronger heavy duty carbide blade optional)
Portable machine, which fits into every car trunk
The revolutionary design of the 600MH provides for high productivity, mobility and therefore, profitability.</t>
  </si>
  <si>
    <t>Installs 600 meter per hour
Installs 4-6 cm underground
Powerful 4 stroke honda GXH50 Engine, 2,1HP
Supports wire size up to 4mm (up to 6mm and up to 10mm with additional accessories)
Spools up to: 1.000 meters
Reversible hardened steel blade that can handle all underground obstacles (stronger heavy duty carbide blade optional)
Portable machine, which fits into every car trunk</t>
  </si>
  <si>
    <t>Engine: Honda GXH 50, 4-stroke, 2.1 HP
Range: Lay up to 600 m per hour
Wire Reel Bracket: Allows the use of most wire reels (up to 800 m), many possible configurations, optional support for oversized wheels
Weight (dry): 38 kg
Overall Dimensions: 56 cm x 46 cm x 125 cm
Frame: Powder Coated Steel
Multi-Position Anti-Vibration Handle:  Vibration levels reduced by more than 50%, improved operators comfort, ergonomic Pivots 30° to the right tilts 180° front to back, Facilitates operation in tight spaces
Transmission: Self-propelled
Included:
1x heavy-duty carbide steel blade included
1x wire guide for cables up to 4mm included
Warranty: Commercial Use: 1-year Engine: Honda International Warranty</t>
  </si>
  <si>
    <t>The gasoline powered 600MH Perimeter Wire Machine has been designed by professionals to optimize the work of robotic mower installers. It installs up to 600m per hour 4-6cm underground.</t>
  </si>
  <si>
    <t>AM Portable winch Blade Heavy Duty</t>
  </si>
  <si>
    <t>1 pc. Reversable Winch Blade.</t>
  </si>
  <si>
    <t>Portable winch blade</t>
  </si>
  <si>
    <t>https://auto-mow.com/shop/tools/cable-machines/cable-machine-blades/</t>
  </si>
  <si>
    <t>10*20*10</t>
  </si>
  <si>
    <t>8*1,5*0,4</t>
  </si>
  <si>
    <t>8*1,5*0,5</t>
  </si>
  <si>
    <t>20 pcs.</t>
  </si>
  <si>
    <t>Auto-mow is ready to supply our dealers with the best blades for the cable machines.
Our blades are long-lasting and can save installers a lot of time and money, as a longer life-span leads to less breaking blades in rocky and dry soil installations.
Blades are made from Hardened steel and are treated and corrosion protected.</t>
  </si>
  <si>
    <t>Our blades for Cable machines are made from Hardened steel and corrosion protected.</t>
  </si>
  <si>
    <t>Cable Machine - Terra 800</t>
  </si>
  <si>
    <t>https://auto-mow.com/shop/others/cable-machines/cable-machine-terra-800/</t>
  </si>
  <si>
    <t>Cost-Efficient cable machine with the drill bit system, fitting all Auto-mow cable spools.
It can install wire from all robot manufacturers with the configurable wire reel support and supports up to 1000 meter rolls for Auto-Mow.com
Loncin four-stroke push mower engine. Max speed@3600rmp
Noise specifications: 72 dB/a
Efficient: UP to 600m/h
Depth from 1-5cm underground
Fast and convenient installation
180 degrees handle tilting
Takes cable up to 6cm in Diameter
Meter-counter included</t>
  </si>
  <si>
    <t>Loncin four-stroke push mower engine. Max speed@3600rmp
Noise specifications: 72 dB/a
Efficient: UP to 600m/h
Depth from 1-5cm underground
Fast and convenient installation
180 degrees handle tilting
Takes cable up to 6cm in Diameter
Meter-counter included</t>
  </si>
  <si>
    <t>Cost-Efficient cable machine with the drill bit system, fitting all Auto-mow cable spools.
It can install wire from all robot manufacturers with the configurable wire reel support and supports up to 1000 meter rolls for Auto-Mow.com</t>
  </si>
  <si>
    <t>Cable machine Portable winch 600MH-Li (without batteries)</t>
  </si>
  <si>
    <t>1 pc. Battery driven cable machine.</t>
  </si>
  <si>
    <t>Electric Cable Machine</t>
  </si>
  <si>
    <t>https://auto-mow.com/shop/tools/cable-machines/portable-winch-cable-machine-pwm-600mh-li/</t>
  </si>
  <si>
    <t>56*46*125cm</t>
  </si>
  <si>
    <t>The battery powered 600MH-LI Perimiter Wire machine has been designed by professionals to optimize the work of robotic mower installers.
It can install wire from all robot manufacturers with the configurable wire reel support and supports up to 1000 meter rolls for Auto-Mow.com
Installs 600 meters per hour
Installs 4-6 cm underground
Laying up to inclinations of 70% (Neccessary for some mowers)
1.0kW brushless motor for Lothium-Ion batteries 80/82V
Supports wire size up to 4mm (up to 6mm and up to 10mm with additional accessories)
Spools up to: 1000 meters cable
Reversible hardened steel blade that can handle all underground obstacles (stronger heavy duty carbide blade optional)
Portable machine, which fits into every car trunk
No emissions</t>
  </si>
  <si>
    <t>Installs 600 meters per hour
Installs 4-6 cm underground
Laying up to inclinations of 70% (Neccessary for some mowers)
1.0kW brushless motor for Lothium-Ion batteries 80/82V
Supports wire size up to 4mm (up to 6mm and up to 10mm with additional accessories)
Spools up to: 1000 meters cable
Reversible hardened steel blade that can handle all underground obstacles (stronger heavy duty carbide blade optional)
Portable machine, which fits into every car trunk
No emissions</t>
  </si>
  <si>
    <t>OBS: Battery or charger is not included.
Engine: 1.0kW brushless electric motor for Lithium-Ion batteries 80/82V
Range: Lay up to 600m cable per hour.
Wire Reel Bracket: Allows the use of most wire reels (up to 800m), many possible configurations, optional support for oversized wheels
Weight (dry): 38kg
Overall Dimensions: 56cm x 46cm x 125 cm
Frame: Powder Coated Steel</t>
  </si>
  <si>
    <t xml:space="preserve">
The battery powered 600MH-LI Perimiter Wire machine has been designed by professionals to optimize the work of robotic mower installers. It installs up to 600m per hour 4-6cm underground.</t>
  </si>
  <si>
    <t>CL400 Drill bit blade</t>
  </si>
  <si>
    <t>1 pc. Drill bit.</t>
  </si>
  <si>
    <t>Drill Bit</t>
  </si>
  <si>
    <t>50*40*20</t>
  </si>
  <si>
    <t>Pro Meter Wheel</t>
  </si>
  <si>
    <t>1 pc. Meterwheel with counting mechanism.</t>
  </si>
  <si>
    <t>https://auto-mow.com/shop/tools/cable-machines/pro-meter-wheel/</t>
  </si>
  <si>
    <t>50*40*32</t>
  </si>
  <si>
    <t>95*20*32</t>
  </si>
  <si>
    <t>50*20*32</t>
  </si>
  <si>
    <t>Fabric</t>
  </si>
  <si>
    <t>The meter wheel is used to measure up a garden, if you want to give a costumer a precise quotation for the task.
The Meter wheel come in a very handy and foldable design.
It also has a side stand, so you can easily place it anywhere you want, without risking that the meter wheel will fall.
This is a must have for all professional installers.</t>
  </si>
  <si>
    <t>The meter wheel is used to measure up a garden, if you want to give a costumer a precise quotation for the task.</t>
  </si>
  <si>
    <t>BIO Plastic Pegs - 100 pcs</t>
  </si>
  <si>
    <t>100 pcs. Bio Pegs.</t>
  </si>
  <si>
    <t>Bio Pegs</t>
  </si>
  <si>
    <t>https://auto-mow.com/shopold/accessories/plastic-pegs/bio-plastic-pegs-degradable-2-years/</t>
  </si>
  <si>
    <t>58*22*27</t>
  </si>
  <si>
    <t>20*10*7</t>
  </si>
  <si>
    <t>Paperboard 100%</t>
  </si>
  <si>
    <t>Stop using plastic pegs, and use biodegradable pegs.
These biodegradable pegs are approved by EU regulations. They decompose after 1-2 years and become compost.
Auto-Mow Biodegradable pegs are the same high quality pegs as our regular plastic pegs.
Study shows that 90% of all installers leave the boundary cable in the ground, after reinstalling a new cable in the same garden. These Biodegradable pegs will make it lot easier to remove old cable and leave a clean installation, with only 1 cable and 1 set of pegs in the ground.
100 Pcs
A better solution for the environment
High quality
1-2 year degradable
Low cost</t>
  </si>
  <si>
    <t>100 Pcs
A better solution for the environment
High quality
1-2 year degradable
Low cost</t>
  </si>
  <si>
    <t>These biodegradable pegs are approved by EU regulations. They decompose after 1-2 years and become compost.</t>
  </si>
  <si>
    <t>Docking Station Pegs - 6 Pcs.</t>
  </si>
  <si>
    <t>6 pcs. Docking Station Pegs, 1 pc. Steel Hex Drill Bit.</t>
  </si>
  <si>
    <t>Docking Station Pegs</t>
  </si>
  <si>
    <t>https://auto-mow.com/da/shop/pegs/docking-station-pegs/docking-station-pegs/</t>
  </si>
  <si>
    <t>40*20,5*20</t>
  </si>
  <si>
    <t>10*2,2*20</t>
  </si>
  <si>
    <t>Corrugated cardboard</t>
  </si>
  <si>
    <t>Used to secure the docking station into the ground.
Includes 6 pegs and 1 hex drill to securely screw the peg into the ground and fasten the docking station. The peg can also be used to fasten other objects in the ground.
Strong plastic
Easy to screw into the ground</t>
  </si>
  <si>
    <t>Strong plastic
Easy to screw into the ground</t>
  </si>
  <si>
    <t>The pack of 6 pegs Includes 1 hex drill and 6 Plastic pegs – 18 cm long.
Works for Automower, Gardena, Ambrogio, Stiga and a lot more.
Color: Black</t>
  </si>
  <si>
    <t>These docking station pegs are used to secure the docking station to the ground.</t>
  </si>
  <si>
    <t>Extreme Bio Pegs - 100 pcs.</t>
  </si>
  <si>
    <t>100 pcs. Extreme Bio Pegs.</t>
  </si>
  <si>
    <t>Extreme Bio Pegs</t>
  </si>
  <si>
    <t>https://auto-mow.com/shopold/accessories/plastic-pegs/extreme-biodegradable-pegs-compostable/</t>
  </si>
  <si>
    <t>52*22*32</t>
  </si>
  <si>
    <t xml:space="preserve"> 20 pcs.</t>
  </si>
  <si>
    <t>It is time to change to environmentally friendly pegs for robot installations.
We offer new and improved bio pegs with anchors on the edges for a stronger grip in the ground.
Auto-Mow biodegradable pegs are approved for use in all gardens around the world, and they start to decompose after 1-2 years.
Study shows that the strength and quality of our bio pegs are the same as our normal plastic pegs.
The bio pegs are a better option if you choose to remove the cable from the ground after many years of usage, where normal plastic pegs would make this impossible. By using bio pegs the cable can be easily removed, as the bio pegs will decompose making removal of old cable very easy.
Why use bio pegs:
A better solution for the environment
High quality
Anchors better to the ground
1-2 year degradable
Low cost</t>
  </si>
  <si>
    <t>A better solution for the environment
High quality
Anchors better to the ground
1-2 year degradable
Low cost</t>
  </si>
  <si>
    <t>These biodegradable pegs are approved by EU regulations. They decompose after 1-2 years and become compost. Good for soft ground, due to the strong grip.</t>
  </si>
  <si>
    <t>Extreme Pegs - 100 pcs</t>
  </si>
  <si>
    <t>100 pcs. Extreme Pegs.</t>
  </si>
  <si>
    <t>Extreme Pegs</t>
  </si>
  <si>
    <t>https://auto-mow.com/shopold/accessories/plastic-pegs/extreme-plastic-pegs-85cm/</t>
  </si>
  <si>
    <t>22*33*53</t>
  </si>
  <si>
    <t>23*14*9</t>
  </si>
  <si>
    <t xml:space="preserve"> 25 pcs.</t>
  </si>
  <si>
    <t>Plastic</t>
  </si>
  <si>
    <t>These extreme plastic pegs are used for boundary cable installation and for other gardening purposes.
We offer our our new and improved pegs with anchors on the edge so they will have a stronger grip in the ground.
High quality certified plastic
100 pcs per bag</t>
  </si>
  <si>
    <t>High quality certified plastic
100 pcs per bag</t>
  </si>
  <si>
    <t>These plastic pegs are used for boundary cable installation and for other gardening purposes. Good for soft ground, due to the strong grip.</t>
  </si>
  <si>
    <t>Plastic pegs - 100 pcs.</t>
  </si>
  <si>
    <t>100 pcs. Plastic Pegs.</t>
  </si>
  <si>
    <t>Plastic Pegs</t>
  </si>
  <si>
    <t>https://auto-mow.com/shopold/accessories/plastic-pegs/plastic-pegs-85cm/</t>
  </si>
  <si>
    <t>25*35*50</t>
  </si>
  <si>
    <t>These plastic pegs are used for boundary cable installation and for other gardening purposes.
● High quality certified plastic
● 100pcs per bag</t>
  </si>
  <si>
    <t>High quality certified plastic
● 100pcs per bag</t>
  </si>
  <si>
    <t>These plastic pegs are used for boundary cable installation and for other gardening purposes. </t>
  </si>
  <si>
    <t xml:space="preserve">
Repair Tape Extreme - 10m</t>
  </si>
  <si>
    <t>10M</t>
  </si>
  <si>
    <t>Repair Tape</t>
  </si>
  <si>
    <t>https://auto-mow.com/da/shop/connectors/repair-tape-extreme-10m/</t>
  </si>
  <si>
    <t>40*48*20</t>
  </si>
  <si>
    <t>1,9*1000</t>
  </si>
  <si>
    <t>10*10*1</t>
  </si>
  <si>
    <t>Auto-Mows Repair Tape Extreme is developed to be a quick and easy solution for more minor eruptions on cable plastic. The tape is water-resistant and designed for underground installations.
It is self-adhesive, making it easy to wrap and seal the tape around the cable to create a long-lasting connection.
Temperature resilience: -20 °C  –  +80 °C
Self-adhesive
Easy to install
Long-lasting solution
It can be used on all cable types</t>
  </si>
  <si>
    <t>Self-adhesive
Easy to install
Long-lasting solution
It can be used on all cable types</t>
  </si>
  <si>
    <t>Temperature resilience: -20 °C  –  +80 °C
Dielectric strength: 25KV/mm
Thickness: 0,76mm
Width: 19mm</t>
  </si>
  <si>
    <t>Rubber self-fusing tape for underground repairs.</t>
  </si>
  <si>
    <t>3M - 314 Scotchlock - 100 pcs.</t>
  </si>
  <si>
    <t>100 pcs. Original 3M 314 Scotchlocks.</t>
  </si>
  <si>
    <t>3M 314</t>
  </si>
  <si>
    <t>https://auto-mow.com/shopold/accessories/connectors/scotchlock/</t>
  </si>
  <si>
    <t>22*22*22</t>
  </si>
  <si>
    <t>11*9*12</t>
  </si>
  <si>
    <t>11*9*13</t>
  </si>
  <si>
    <t>The Original 3M Scotchlok 314 is the most used connector for underground installations. used to provide an insulated connection for 2 to 3 wires</t>
  </si>
  <si>
    <t>Blue Crimping Connector 1,5 - 2,5mm2 - 100 pcs.</t>
  </si>
  <si>
    <t>100 pcs. Crimping Connectors from  1,5mm2 to 2,5mm2.</t>
  </si>
  <si>
    <t>Crimping Connector Blue</t>
  </si>
  <si>
    <t>https://auto-mow.com/da/shop/connectors/crimping-connector/</t>
  </si>
  <si>
    <t>50*40*55</t>
  </si>
  <si>
    <t>1,5-2,5MM^2</t>
  </si>
  <si>
    <t>11*5,5*7,5</t>
  </si>
  <si>
    <t>200 pcs.</t>
  </si>
  <si>
    <t>Nylon bag</t>
  </si>
  <si>
    <t>Crimping connectors are one of the best connectivity solutions for underground installation or repairs.
We recommend using the heat shrink tube around the connector for an even stronger connection.
Crimp the connector before heating it to seal it and create a safe installation.</t>
  </si>
  <si>
    <t>100 pcs per bag
Red: 0,5 mm² – 1,5 mm²
Blue: 1,5 mm² – 2,5 mm²</t>
  </si>
  <si>
    <t>Crimping connectors for conductor from 1,5mm2 to 2,5mm2.</t>
  </si>
  <si>
    <t>Docking station connector Blue - 100 pcs.</t>
  </si>
  <si>
    <t>Docking Station Connector Blue</t>
  </si>
  <si>
    <t>https://auto-mow.com/shopold/accessories/connectors/docing-station-connector/</t>
  </si>
  <si>
    <t>1-1,5MM^2</t>
  </si>
  <si>
    <t>13,5*11*3</t>
  </si>
  <si>
    <t>93 pcs.</t>
  </si>
  <si>
    <t xml:space="preserve">
This connector is used to connect the boundary wire to the docking station. It is a quick and easy solution, for a professional installation.
Use the Docking Station Connector when attaching the boundary wire to the docking station. Place the end of the cable on the metal plate inside the connector and close it. Use pliers to apply pressure. When locked, place the pointy end of the connector in the docking station.
Large bags with 100 Pcs
Small box with 5 pcs
For conductors with a size of 1mm2 to 1,5 mm2</t>
  </si>
  <si>
    <t xml:space="preserve">
Large bags with 100 Pcs
Small box with 5 pcs
For conductors with a size of 1mm2 to 1,5 mm2</t>
  </si>
  <si>
    <t>For conductors with a size of 1mm2 to 1,5 mm2</t>
  </si>
  <si>
    <t>This connector is mostly used to connect the boundary wire with the docking station.  For conductors from 1 mm2 to 1,5 mm2.</t>
  </si>
  <si>
    <t>Docking Station Connector Blue - 5 pcs.</t>
  </si>
  <si>
    <t>5,3*2,7*2,7</t>
  </si>
  <si>
    <t>Docking station Connector Red - 100 pcs.</t>
  </si>
  <si>
    <t>Docking Station Connector Red</t>
  </si>
  <si>
    <t>https://auto-mow.com/shopold/accessories/connectors/docking-station-connector-red-100-pcs/</t>
  </si>
  <si>
    <t>0,5-1MM^2</t>
  </si>
  <si>
    <t>18*11*3</t>
  </si>
  <si>
    <t>150 pcs.</t>
  </si>
  <si>
    <t>This connector is used to connect the boundary wire with the docking station and is a must-have for all installers.
Use the Docking Station Connector when attaching the boundary wire to the docking station. Place the end of the cable on the metal plate inside the connector and close it. Use pliers to apply pressure. When locked, place the pointy end of the connector in the docking station.
Large bags with 100 pcs.
Small box with 5 pcs.
For conductors at 0,5 mm2 to 1 mm2</t>
  </si>
  <si>
    <t xml:space="preserve">
Large bags with 100 pcs.
Small box with 5 pcs.
For conductors at 0,5 mm2 to 1 mm2</t>
  </si>
  <si>
    <t>For conductors at 0,5 mm2 to 1 mm2 Original part no: 535 12 90-02</t>
  </si>
  <si>
    <t>This connector is mostly used to connect the boundary wire with the docking station.  For conductors from 0,5 mm2 to 1 mm2.</t>
  </si>
  <si>
    <t>Docking Station Connector Red - 5 pcs.</t>
  </si>
  <si>
    <t>Heat Shrink connector - 100 pcs.</t>
  </si>
  <si>
    <t>100 pcs. Heat Shrink Connectors.</t>
  </si>
  <si>
    <t>Heat Shrink Connector</t>
  </si>
  <si>
    <t>https://auto-mow.com/shopold/accessories/connectors/heat-shrink-connector/</t>
  </si>
  <si>
    <t>0,3*3</t>
  </si>
  <si>
    <t>17*10*3</t>
  </si>
  <si>
    <t>If you need a connector with the longest lifespan, then you must use a heat shrink connector. It will protect the cable for many decades and will leave the cable 100% oxidation free. It is highly recommended for professional installations, and also for repairs.
If you don’t own a heat blower or if you would like to have a portable heat-shrinking tool, then you can buy it here.</t>
  </si>
  <si>
    <t>100 pcs Heat shrink connector with tin and 100% waterproof.
Long-lasting connection. ● Oxidation free</t>
  </si>
  <si>
    <t>Protects the cable for many decades and will leave the cable 100% oxidation free.</t>
  </si>
  <si>
    <t>Heat Shrink Connector - 5 pcs.</t>
  </si>
  <si>
    <t>5 pcs. Heat Shrink Connectors.</t>
  </si>
  <si>
    <t>Heat Shrink Connectors 10 cm - 10 pcs.</t>
  </si>
  <si>
    <t>10 pcs. Heat Shrink Connectors and 10 pcs. 10cm Heat Shrink Tubes.</t>
  </si>
  <si>
    <t>Heat Shrink Connectors 10 cm</t>
  </si>
  <si>
    <t>https://auto-mow.com/shopold/accessories/connectors/heat-shrink-repair-kit-10-cm/</t>
  </si>
  <si>
    <t>0,3*10</t>
  </si>
  <si>
    <t>16*9*3</t>
  </si>
  <si>
    <t>Auto-Mow is proud to present our repair kit for shortened wires.
There is normally a gap between the two ends of cable that needs repairing after the damaged cable is removed.  The gap can often be 5 to 10cm.
The repair kits offers a 10 cm prolonged single connector that can connect the wires together again, even though the 2 ends of the wires are not close to each other anymore.
To make it the strongest connection possible, it comes with a 2nd layer protection, that makes the connection even more secure and stable for many years.
Easy and simple repair
Gives a better connection
Saves time
Professional repair for shortened wires
Comes in packs of 10 pcs.
We recommend using our heat gun for this repair.</t>
  </si>
  <si>
    <t>Easy and simple repair
Gives a better connection
Saves time
Professional repair for shortened wires
Comes in packs of 10 pcs.</t>
  </si>
  <si>
    <t>Repair kit for shortened wires.</t>
  </si>
  <si>
    <t>Heat Shrink Tube 1,1mm - 3,1mm - 100 pcs.</t>
  </si>
  <si>
    <t>100 pcs. Heat Shrink Tubes, size 1,1mm to 3,1mm.</t>
  </si>
  <si>
    <t>Heat Shrink Tube</t>
  </si>
  <si>
    <t>https://auto-mow.com/shopold/accessories/connectors/heat-shrink-tube-32mm-64mm/</t>
  </si>
  <si>
    <t>1,1-3,1MM</t>
  </si>
  <si>
    <t>11*3*10</t>
  </si>
  <si>
    <t>160 pcs.</t>
  </si>
  <si>
    <t>This tube contains a high content of adhesive sealant inside.
This heat shrink tube makes the connection extremely strong, and together with our heat shrink connector, it will make an extremely good conductivity throughout the installation.
You can also use the heat shrink tube around docking station connectors to make an even more secure connection.
High content of adhesive sealant
Easy to shrink
10cm in length
Very strong connection
We recommend using our heat gun for this repair.</t>
  </si>
  <si>
    <t>High content of adhesive sealant
Easy to shrink
10cm in length
Very strong connection</t>
  </si>
  <si>
    <t xml:space="preserve">
Heat Shrink Tube 1,1mm – 3,1mm (100 pcs)
Heat Shrink Tube 1,8mm – 4,6mm (100 pcs)
Heat Shrink Tube – 2,4mm – 6,4mm (100 pcs)</t>
  </si>
  <si>
    <t>This heat shrink tube makes the connection extremely strong, that together with our heat shrink connector gives the most secure underground connection of 2 boundary wires.</t>
  </si>
  <si>
    <t>Heat Shrink Tube 1,8mm - 4,6mm - 100 pcs.</t>
  </si>
  <si>
    <t>100 pcs. Heat Shrink Tubes, size 1,8mm to 4,6mm.</t>
  </si>
  <si>
    <t>1,8-4,6MM</t>
  </si>
  <si>
    <t>24*20*3</t>
  </si>
  <si>
    <t>Heat Shrink Tube 2,4mm - 6,4mm - 100 pcs.</t>
  </si>
  <si>
    <t>100 pcs. Heat shrink tubes, size 2,4mm to 6,4mm.</t>
  </si>
  <si>
    <t>2,4-6,4MM</t>
  </si>
  <si>
    <t>22*17*4</t>
  </si>
  <si>
    <t>136. pcs.</t>
  </si>
  <si>
    <t>Pro Guide cable connector - 100 pcs.</t>
  </si>
  <si>
    <t>Pro Guide Cable Connector</t>
  </si>
  <si>
    <t>https://auto-mow.com/shopold/accessories/connectors/pro-guide-cable-connector/</t>
  </si>
  <si>
    <t>1*1*0,5</t>
  </si>
  <si>
    <t>19*11*3</t>
  </si>
  <si>
    <t>90 pcs.</t>
  </si>
  <si>
    <t>Cardboard 70% Plastic 30%</t>
  </si>
  <si>
    <t>Avoid clipping the boundary cable by using the Pro Guide Cable Connector!
The Pro Guide Cable Connector is the preferred connector for all auto-mower installers. It offers a 100% waterproof connection for any underground cable.
You can use the Pro Guide Cable Connector to easily connect the boundary cable to the guide-wire, without clipping the boundary cable.
● Professional guide cable connector.
● 100% waterproof and resistant to heat and cold.
● Save time doing the installation.</t>
  </si>
  <si>
    <t>● Professional guide cable connector.
● 100% waterproof and resistant to heat and cold.
● Save time doing the installation.</t>
  </si>
  <si>
    <t>Run and Tap connector, Moisture Resistant, and Flame Retardant. The connector insulation is manufactured from polypropylene and used to electrically tap into a wire in mid-span without clipping or stripping the wire. It is 600V-rated and withstands temperatures of 167° F (75° C).
Maximum Operating Temperature (Celsius): 75° Celsius
Maximum Operating Temperature (Fahrenheit): 167° Fahrenheit
Maximum Recommended Voltage Rating: 600 V
Maximum Wire Gauge: 14 AWG Stranded
Minimum Wire Gauge: 18 AWG
Voltage Application: Low Voltage</t>
  </si>
  <si>
    <t>Pro Guide Cable Connector to easily connect the boundary cable to the guide-wire, without clipping the boundary cable.</t>
  </si>
  <si>
    <t>Pro Guide Cable Connector - 4 pcs.</t>
  </si>
  <si>
    <t>1*1*0,6</t>
  </si>
  <si>
    <t xml:space="preserve">Pro Heat-Shrink Kit - 10 pcs. </t>
  </si>
  <si>
    <t>Pro Heat-shrink Kit</t>
  </si>
  <si>
    <t>https://auto-mow.com/shopold/accessories/connectors/pro-heat-shrink-kit/</t>
  </si>
  <si>
    <t>11*9*3</t>
  </si>
  <si>
    <t>180 pcs.</t>
  </si>
  <si>
    <t>This kit contains a heat shrink connector and a heat shrink tube, that together give the most secure underground connection of 2 boundary wires.
1st layer is our blue heat shrink connector that has tin inside to give a secure and great conductivity throughout the installation.
2nd is our black heat shrink tube, this layer is made from strong plastic and contains a high level of glue inside. This makes the connection extremely strong and long lasting.
For underground connections
Perfect conductivity
High level of glue
Easy to shrink
Very strong connection
We recommend using our heat gun for this repair.
Available in packs of 10 pcs and 50 pcs.</t>
  </si>
  <si>
    <t>For underground connections
Perfect conductivity
High level of glue
Easy to shrink
Very strong connection</t>
  </si>
  <si>
    <t>This kit contains a heat shrink connector and a heat shrink tube, that together give the most secure underground connection of 2 boundary wires.</t>
  </si>
  <si>
    <t>Pro Heat-Shrink Kit - 50 pcs.</t>
  </si>
  <si>
    <t>11*9*8</t>
  </si>
  <si>
    <t>Red Crimping Connector 0,5 - 1,5mm2 - 100 pcs.</t>
  </si>
  <si>
    <t>100 pcs. Crimping Connectors from 0,5mm2 to 1,5mm2.</t>
  </si>
  <si>
    <t>Crimping Connector Red</t>
  </si>
  <si>
    <t>0,5-1,5MM^2</t>
  </si>
  <si>
    <t>11*4,5*7,5</t>
  </si>
  <si>
    <t>Crimping connectors for conductor from 0,5mm2 to 1,5mm2.</t>
  </si>
  <si>
    <t>Robot ReDirect</t>
  </si>
  <si>
    <t>Robot Redirect</t>
  </si>
  <si>
    <t>https://auto-mow.com/da/shop/connectors/robot-redirect/</t>
  </si>
  <si>
    <t>58*16*40</t>
  </si>
  <si>
    <t>10*5*5</t>
  </si>
  <si>
    <t>The Robot ReDirect is used to isolate an area within the boundary of the robot installation.
The Robot ReDirect is very easy to use, just twist the head, and the robot will be redirected. Twist the head back and you will include the entire garden again.
Offer your clients a customized robot installation which can be personalized to their garden and which meets the needs of their everyday life.
Give your customer a unique experience, so they don’t have to worry about the robot cutting the children’s toys or getting stuck on fallen fruit.
Robot ReDirect is used for:
Play areas
Fruit and nut trees
Avoiding areas effected by rain water
Seasonal flower beds
Trampoline
Outdoor party areas
Grill and barbeque
A standard customer needs on average 2 Robot ReDirects per garden, so there is a great opportunity to upsell the robotic lawn mower installation.</t>
  </si>
  <si>
    <t>Robot ReDirect is used for:
Play areas
Fruit and nut trees
Avoiding areas effected by rain water
Seasonal flower beds
Trampoline
Outdoor party areas
Grill and barbeque</t>
  </si>
  <si>
    <t>How to connect Robot ReDirect:
You need 4 x 314 waterproof connectors
Extra cable for the area you want to exclude.
Installation time: 3 min.</t>
  </si>
  <si>
    <t>The Robot ReDirect is used to isolate an area within the boundary of the robot installation.</t>
  </si>
  <si>
    <t>Scotchlock 314 - 100 pcs.</t>
  </si>
  <si>
    <t>Scotchlock 314</t>
  </si>
  <si>
    <t>46*30*24</t>
  </si>
  <si>
    <t>The 314 Connector is the most used connector for underground installations.
This Connector is used for many purposes but is mostly used for underground connection with the Boundary wire. The options for this blue connector are unlimited.
The connector has a white body and a blue cap. It is used to provide an insulated connection for 2 to 3 wires
Use this product with a mineral oil lubricant to create a tight seal that’s resistant to moisture
The insulated connector is designed to work with 22 to 14 AWG solid/stranded wires
Corrosion resistance is provided by the tin plating of the element, which is constructed from high-quality brass for good conductivity
Suitable for use in temperatures up to 221°F (105°C)</t>
  </si>
  <si>
    <t xml:space="preserve">
The connector has a white body and a blue cap. It is used to provide an insulated connection for 2 to 3 wires
Use this product with a mineral oil lubricant to create a tight seal that’s resistant to moisture
The insulated connector is designed to work with 22 to 14 AWG solid/stranded wires
Corrosion resistance is provided by the tin plating of the element, which is constructed from high-quality brass for good conductivity
Suitable for use in temperatures up to 221°F (105°C)</t>
  </si>
  <si>
    <t>100 pcs in one bag – Original part no: 501 98 02-03</t>
  </si>
  <si>
    <t>The 314 Scotchlok is the most used connector for underground installations. used to provide an insulated connection for 2 to 3 wires</t>
  </si>
  <si>
    <t>Scotchlock 314 - 5 pcs.</t>
  </si>
  <si>
    <t>AL-KO Robolinho  OEM: 440454 (100 / 110 / 41,6) - AL-AL01</t>
  </si>
  <si>
    <t>31*31*31</t>
  </si>
  <si>
    <t>9,4*6,9*2,6</t>
  </si>
  <si>
    <t>13,1*8,5*4,7</t>
  </si>
  <si>
    <t>34 pcs.</t>
  </si>
  <si>
    <t>OEM: 440454, 441154, 442175</t>
  </si>
  <si>
    <t>AL-KO Robolinho OEM: 440454 (3000 / 4000 / 82.8 /116) - AL-AL02</t>
  </si>
  <si>
    <t>34,5*29*24,5</t>
  </si>
  <si>
    <t>12,8*6,9*5</t>
  </si>
  <si>
    <t>15,3*7,8*6</t>
  </si>
  <si>
    <t>16 pcs.</t>
  </si>
  <si>
    <t>AXCELL Robot batteries are compatible battery types built as per OE specifications. Available in different technologies (NiMH, Li-Ion or LiFePo4), these batteries are designed for intensive charge &amp; discharge and developed with first-class safety features. Ideal to offer the robot great autonomy in working!
Benefits:
Compatible battery type – Matching with OE specifications
High cycle life – High quality lithium cells
Low self-discharge – Long shelf life &amp; ideal for seasonal use
Multi-position mounting – Even upside down
Covers the majority of parc – More than 200 robots models covered
Comes with first-class safety features – BMS integrated</t>
  </si>
  <si>
    <t>Benefits:
Compatible battery type – Matching with OE specifications
High cycle life – High quality lithium cells
Low self-discharge – Long shelf life &amp; ideal for seasonal use
Multi-position mounting – Even upside down
Covers the majority of parc – More than 200 robots models covered
Comes with first-class safety features – BMS integrated</t>
  </si>
  <si>
    <t>Specifications: Voltage: 25,2V. Capacity: 5AH. Power: 126WH
Protections function (PMC): Overcharge protection, overdischarge protection, overcurrent protection, temperature protection, balancing function.
Operating temperture: Charge temperature: 0C to 45C. Discharge temperature: -10C to 60C. Storage temperature: 0C to 40C
Dimensions &amp; weight: Length (L): 128mm (+/- 2mm). Width (W): 69mm (+/- 2mm). Height (H): 50mm (+/- 2mm). Weight: 0,69 kg.</t>
  </si>
  <si>
    <t>440530
441188</t>
  </si>
  <si>
    <t>AMBROGIO OEM: 015E00600A (L15 /L20 / L60 / Twenty /
WIPER i70 / i100S /  Climber / Q350) - AL-ZU01</t>
  </si>
  <si>
    <t>31*15*29</t>
  </si>
  <si>
    <t>12,9*6,7*2,8</t>
  </si>
  <si>
    <t>14,5*8,4*3,2</t>
  </si>
  <si>
    <t>Specifications: Voltage: 25,2V. Capacity: 2,6AH. Power: 65,52WH
Protections function (PMC): Overcharge protection, overdischarge protection, overcurrent protection, temperature protection, balancing function.
Operating temperture: Charge temperature: 0C to 45C. Discharge temperature: -10C to 60C. Storage temperature: 0C to 40C
Dimensions &amp; weight: Length (L): 129mm (+/- 2mm). Width (W): 67mm (+/- 2mm). Height (H): 28mm (+/- 2mm). Weight: 0,37 kg.</t>
  </si>
  <si>
    <t>015E00600A
050Z38600A</t>
  </si>
  <si>
    <t>AMBROGIO OEM: 075Z01300A (L30/L75/L85) - AL-ST03</t>
  </si>
  <si>
    <t>27*18*26</t>
  </si>
  <si>
    <t>14,5*7,8*3,9</t>
  </si>
  <si>
    <t>16,1*8,6*4,4</t>
  </si>
  <si>
    <t>Specifications: Voltage: 25,2V. Capacity: 2,3AH. Power: 58WH.
Protections function (PMC): Overcharge protection, overdischarge protection, overcurrent protection, temperature protection, balancing function.
Operating temperture: Charge temperature: 0C to 45C. Discharge temperature: -10C to 60C. Storage temperature: 0C to 40C
Dimensions &amp; weight: Length (L): 144mm (+/- 2mm). Width (W): 76.9mm (+/- 2mm). Height (H): 38mm (+/- 2mm). Weight: 0,46 kg.</t>
  </si>
  <si>
    <t>075Z01300A
1126913701</t>
  </si>
  <si>
    <t>AMBROGIO OEM: CS C0114 (Type L200/ L300 Serie)  - AL-ST02</t>
  </si>
  <si>
    <t>36*25*23</t>
  </si>
  <si>
    <t>30,2*15,7*4,1</t>
  </si>
  <si>
    <t>38,5*22*7</t>
  </si>
  <si>
    <t>Specifications: Voltage: 25,2V. Capacity: 13,8AH. Power: 347,8WH
Protections function (PMC): Overcharge protection, overdischarge protection, overcurrent protection, temperature protection, balancing function.
Operating temperture: Charge temperature: 0C to 45C. Discharge temperature: -10C to 60C. Storage temperature: 0C to 40C
Dimensions &amp; weight: Length (L): 302mm (+/- 2mm). Width (W): 156.8mm (+/- 2mm). Height (H): 41mm (+/- 2mm). Weight: 2,32 kg.</t>
  </si>
  <si>
    <t>CS C0114
1126-9121-01
1126-9139-01</t>
  </si>
  <si>
    <t>AMBROGIO OEM: CS_C0106/1 (Type L100 Serie) - AL-ST01</t>
  </si>
  <si>
    <t>15*6,4*9,3</t>
  </si>
  <si>
    <t>16,5*9,8*6,6</t>
  </si>
  <si>
    <t>12 pcs.</t>
  </si>
  <si>
    <t>Specifications: Voltage: 25,2V. Capacity: 8,7AH. Power: 219,2WH.
Protections function (PMC): Overcharge protection, overdischarge protection, overcurrent protection, temperature protection, balancing function.
Operating temperture: Charge temperature: 0C to 45C. Discharge temperature: -10C to 60C. Storage temperature: 0C to 40C.
Dimensions &amp; weight: Length (L): 150mm (+/- 2mm). Width (W): 64mm (+/- 2mm). Height (H): 93mm (+/- 2mm). Weight: 1,15 kg.</t>
  </si>
  <si>
    <t>CS_C0106/1
1126913801</t>
  </si>
  <si>
    <t>HUSQVARNA OEM: 535 12 09-01 (220AC, 230ACX, 265ACX) - AL-HU05</t>
  </si>
  <si>
    <t>21,5*6,8*2,3</t>
  </si>
  <si>
    <t>24,1*7,6*4</t>
  </si>
  <si>
    <t>AXCELL Robot batteries are compatible battery types built as per OE specifications. Available in different technologies (NiMH, Li-Ion or LiFePo4), these batteries are designed for intensive charge &amp; discharge and developed with first-class safety features. Ideal to offer the robot great autonomy in working!
Benefits:
Compatible battery type – Matching with OE specifications
High cycle life – High quality lithium cells
Low self-discharge – Long shelf life &amp; ideal for seasonal use
Multi-position mounting – Even upside down
Covers the majority of parc – More than 200 robots models covered</t>
  </si>
  <si>
    <t>Benefits:
Compatible battery type – Matching with OE specifications
High cycle life – High quality lithium cells
Low self-discharge – Long shelf life &amp; ideal for seasonal use
Multi-position mounting – Even upside down
Covers the majority of parc – More than 200 robots models covered</t>
  </si>
  <si>
    <t>Specifications: Voltage: 18V. Capacity: 2,2AH. Power: 39,6WH
Operating temperture: Charge temperature: 0C to 45C. Discharge temperature: -10C to 60C. Storage temperature: 0C to 40C
Dimensions &amp; weight: Length (L): 215mm (+/- 2mm). Width (W): 67.6mm (+/- 2mm). Height (H): 22.7mm (+/- 2mm). Weight: 0,85 kg.</t>
  </si>
  <si>
    <t>HUSQVARNA 220AC, 230ACX, 265ACX</t>
  </si>
  <si>
    <t>HUSQVARNA OEM: 574 47 68-01 (105 / 305 / 308) - AL-HU01</t>
  </si>
  <si>
    <t>51*40*23</t>
  </si>
  <si>
    <t>7,1*6,6*5,7</t>
  </si>
  <si>
    <t>Specifications: Voltage: 18V. Capacity: 2AH. Power: 36WH
Operating temperture: Charge temperature: 0C to 45C. Discharge temperature: -10C to 60C. Storage temperature: 0C to 40C
Dimensions &amp; weight: Length (L): 70.5mm (+/- 2mm). Width (W): 66mm (+/- 2mm). Height (H): 57mm (+/- 2mm). Weight: 0,25 kg.</t>
  </si>
  <si>
    <t>HUSQVARNA Automower 105/305/308
MCCULLOCH Rob R600 /R800 /R1000
ALYMO 1200R
GARDENA R38Li / R40Li / R45Li…</t>
  </si>
  <si>
    <t>HUSQVARNA OEM: 578 84 87-02 (265ACX 2012&gt;2015
 265ACX G2-2) - AL-HU07</t>
  </si>
  <si>
    <t>22,1*6,7*2,2</t>
  </si>
  <si>
    <t>25*8*3</t>
  </si>
  <si>
    <t>pecifications: Voltage: 22V. Capacity: 5,2AH. Power: 114,4WH
Protections function (PMC): Overcharge protection, overdischarge protection, overcurrent protection, temperature protection, balancing function.
Operating temperture: Charge temperature: 0C to 45C. Discharge temperature: -10C to 60C. Storage temperature: 0C to 40C
Dimensions &amp; weight: Length (L): 220mm (+/- 2mm). Width (W): 67mm (+/- 2mm). Height (H): 22mm (+/- 2mm). Weight: 0,55 kg.</t>
  </si>
  <si>
    <t>HUSQVARNA
Automower 265ACX 2012&gt;2015
Automower 265ACX G2-2</t>
  </si>
  <si>
    <t>HUSQVARNA OEM: 584 82 28-02 (310 / 315 / 315X 2015&gt;2018) - AL-HU02</t>
  </si>
  <si>
    <t>32*15*28</t>
  </si>
  <si>
    <t>9,2*6,7*2,6</t>
  </si>
  <si>
    <t>10*8*3</t>
  </si>
  <si>
    <t>Specifications: Voltage: 18V. Capacity: 2,5AH. Power: 45WH
Protections function (PMC): Overcharge protection, overdischarge protection, overcurrent protection, temperature protection, balancing function.
Operating temperture: Charge temperature: 0C to 45C. Discharge temperature: -10C to 60C. Storage temperature: 0C to 40C
Dimensions &amp; weight: Length (L): 91.5mm (+/- 2mm). Width (W): 67mm (+/- 2mm). Height (H): 26mm (+/- 2mm). Weight: 0,25 kg.</t>
  </si>
  <si>
    <t>HUSQVARNA Automower 310 /315/315X 2015&gt;2018
GARDENA R100/R160…</t>
  </si>
  <si>
    <t>HUSQVARNA OEM: 589 58 52-01 (320 2013 -&gt;, 330X 2013 -&gt;, 420 2016 -&gt;, 520 2018 -&gt;) - AL-HU03</t>
  </si>
  <si>
    <t>14,6*6,8*3,9</t>
  </si>
  <si>
    <t>16*7*5,2</t>
  </si>
  <si>
    <t>Specifications: Voltage: 18V. Capacity: 4AH. Power: 72WH
Protections function (PMC): Overcharge protection, overdischarge protection, overcurrent protection, temperature protection, balancing function.
Operating temperture: Charge temperature: 0C to 45C. Discharge temperature: -10C to 60C. Storage temperature: 0C to 40C
Dimensions &amp; weight: Length (L): 146,2mm (+/- 2mm). Width (W): 67,6mm (+/- 2mm). Height (H): 38,8mm (+/- 2mm). Weight: 0,49 kg.</t>
  </si>
  <si>
    <t>HUSQVARNA
Automower 320 2013 -&gt;, 330X 2013 -&gt;,
 420 2016 -&gt;, 520 2018 -&gt;</t>
  </si>
  <si>
    <t>HUSQVARNA OEM: 589 58 57-01 (430X (2016&gt;) , 440 (2017 &gt;), 450X (2016&gt;), 550 (2018&gt;) - AL-HU04</t>
  </si>
  <si>
    <t>Specifications: Voltage: 18V. Capacity: 5,2AH. Power: 93,6WH
Protections function (PMC): Overcharge protection, overdischarge protection, overcurrent protection, temperature protection, balancing function.
Operating temperture: Charge temperature: 0C to 45C. Discharge temperature: -10C to 60C. Storage temperature: 0C to 40C
Dimensions &amp; weight: Length (L): 146.2mm (+/- 2mm). Width (W): 67.6mm (+/- 2mm). Height (H): 38.8mm (+/- 2mm). Weight: 0,49 kg.</t>
  </si>
  <si>
    <t>HUSQVARNA
Automower 430X (2016&gt;) , 440 (2017 &gt;), 450X (2016&gt;), 550 (2018&gt;)</t>
  </si>
  <si>
    <t>HUSQVARNA OEM: 589 58 61-01 (105 / 305 / 308) - AL-HU06</t>
  </si>
  <si>
    <t>7,1*6,6*5,8</t>
  </si>
  <si>
    <t>Specifications: Voltage: 18V. Capacity: 2AH. Power: 36WH
Protections function (PMC): Overcharge protection, overdischarge protection, overcurrent protection, temperature protection, balancing function.
Operating temperture: Charge temperature: 0C to 45C. Discharge temperature: -10C to 60C. Storage temperature: 0C to 40C
Dimensions &amp; weight: Length (L): 69mm (+/- 2mm). Width (W): 56mm (+/- 2mm). Height (H): 67mm (+/- 2mm). Weight: 0,25 kg.</t>
  </si>
  <si>
    <t>HUSQVARNA Automower 105/305/308
GARDENA R38Li (2015&gt;2017), R40Li (2012&gt;2019), R45Li (2013&gt;2018), R50Li (2015&gt;2019), …</t>
  </si>
  <si>
    <t>HUSQVARNA OEM: 593 24 72-01 (305 - / 310 - / 315 -2019&gt;
(SN: &gt;2006XXXX) - AL-HU08</t>
  </si>
  <si>
    <t>34,5*21*28</t>
  </si>
  <si>
    <t>13,9*8,1*3,8</t>
  </si>
  <si>
    <t>16*9.1*4,8</t>
  </si>
  <si>
    <t>Specifications: Voltage: 18,5V. Capacity: 2AH. Power: 37WH
Protections function (PMC): Overcharge protection, overdischarge protection, overcurrent protection, temperature protection, balancing function.
Operating temperture: Charge temperature: 0C to 45C. Discharge temperature: -10C to 60C. Storage temperature: 0C to 40C
Dimensions &amp; weight: Length (L): 138,5mm (+/- 2mm). Width (W): 81mm (+/- 2mm). Height (H): 38mm (+/- 2mm). Weight: 0,37 kg.</t>
  </si>
  <si>
    <t>HUSQVARNA
Automower 305 2019&gt;, 310 2019&gt;, 315 2019&gt;
(From Serial Number : 2006XXXX)</t>
  </si>
  <si>
    <t>Indego OEM: 3 600 HA2 000 (800 - 1300 / 3600 / 10C/13C)  - AL-BS01</t>
  </si>
  <si>
    <t>21,7*8,5*5,8</t>
  </si>
  <si>
    <t>19,5*16,5*9,5</t>
  </si>
  <si>
    <t>Specifications: Voltage: 32,4V. Capacity: 3AH. Power: 97,2WH
Protections function (PMC): Overcharge protection, overdischarge protection, overcurrent protection, temperature protection, balancing function.
Operating temperture: Charge temperature: 0C to 45C. Discharge temperature: -10C to 60C. Storage temperature: 0C to 40C
Dimensions &amp; weight: Length (L): 217mm (+/- 2mm). Width (W): 85mm (+/- 2mm). Height (H): 58mm (+/- 2mm). Weight: 0,96 kg.</t>
  </si>
  <si>
    <t>3 600 HA2 000
A016104299</t>
  </si>
  <si>
    <t>ROBOMOW OEM: MRK6105AA (RS612 / RS622 / RS635) - AL-RM03</t>
  </si>
  <si>
    <t>49,5*35,5*26</t>
  </si>
  <si>
    <t>21,6*5,6*7,9</t>
  </si>
  <si>
    <t>26,8*8,8*6,5</t>
  </si>
  <si>
    <t>Specifications: Voltage: 25,6V. Capacity: 6AH. Power: 120WH
Protections function (PMC): Overcharge protection, overdischarge protection, overcurrent protection, temperature protection, balancing function.
Operating temperture: Charge temperature: 0C to 45C. Discharge temperature: -10C to 60C. Storage temperature: 0C to 40C
Dimensions &amp; weight: Length (L): 216mm (+/- 2mm). Width (W): 56mm (+/- 2mm). Height (H): 79mm (+/- 2mm). Weight: 1,47 kg.</t>
  </si>
  <si>
    <t>ROBOMOW RS612/RS622/RS635/...
WOLF GARTEN RS1000/RS1800/RS3000…
CUB CADET 3000</t>
  </si>
  <si>
    <t>ROBOMOW OEM: MRK7005A (City MC150/300/1000/1200, Premium RC304u/RC306) AL-RM02</t>
  </si>
  <si>
    <t>59*24*20</t>
  </si>
  <si>
    <t>21,2*16,4*10,4</t>
  </si>
  <si>
    <t>22,1*17,1*11,4</t>
  </si>
  <si>
    <t>Specifications: Voltage: 25,6V. Capacity: 3AH. Power: 76,8WH
Protections function (PMC): Overcharge protection, overdischarge protection, overcurrent protection, temperature protection, balancing function.
Operating temperture: Charge temperature: 0C to 45C. Discharge temperature: -10C to 60C. Storage temperature: 0C to 40C
Dimensions &amp; weight: Length (L): 212mm (+/- 2mm). Width (W): 164mm (+/- 2mm). Height (H): 108mm (+/- 2mm). Weight: 1,04 kg.</t>
  </si>
  <si>
    <t>ROBOMOW City MC150/300/1000/1200
ROBOMOW Premium RC304u/RC306...
WOLF GARTEN RS400/ RS600</t>
  </si>
  <si>
    <t>WORX OEM: WA3225 (L1500i / M500/ WG754E/ WG790) - AL-WX03</t>
  </si>
  <si>
    <t>28,5*34,5*25</t>
  </si>
  <si>
    <t>10,4*4,9*7,2</t>
  </si>
  <si>
    <t>12,2*11*8,3</t>
  </si>
  <si>
    <t>Specifications: Voltage: 28V. Capacity: 2,5AH. Power: 70WH
Protections function (PMC): Overcharge protection, overdischarge protection, overcurrent protection, temperature protection, balancing function.
Operating temperture: Charge temperature: 0C to 45C. Discharge temperature: -10C to 60C. Storage temperature: 0C to 40C
Dimensions &amp; weight: Length (L): 103.7mm (+/- 2mm). Width (W): 48.8mm (+/- 2mm). Height (H): 72.1mm (+/- 2mm). Weight: 0,42 kg.</t>
  </si>
  <si>
    <t>WA3225</t>
  </si>
  <si>
    <t>WORX OEM: WA3551.1 (L2000/ M1000/ M700) - AL-WX01</t>
  </si>
  <si>
    <t>11*7,5*4,6</t>
  </si>
  <si>
    <t>Specifications: Voltage: 20V. Capacity: 2AH. Power: 40WH
Protections function (PMC): Overcharge protection, overdischarge protection, overcurrent protection, temperature protection, balancing function.
Operating temperture: Charge temperature: 0C to 45C. Discharge temperature: -10C to 60C. Storage temperature: 0C to 40C
Dimensions &amp; weight: Length (L): 109.5mm (+/- 2mm). Width (W): 75mm (+/- 2mm). Height (H): 46mm (+/- 2mm). Weight: 0,46 kg.</t>
  </si>
  <si>
    <t>WA3551.1</t>
  </si>
  <si>
    <t>WORX OEM: WA3556 (L2000/ M1000/ M700) - AL-WX02</t>
  </si>
  <si>
    <t>11*7,5*6,4</t>
  </si>
  <si>
    <t>Specifications: Voltage: 20V. Capacity: 5AH. Power: 140WH
Protections function (PMC): Overcharge protection, overdischarge protection, overcurrent protection, temperature protection, balancing function.
Operating temperture: Charge temperature: 0C to 45C. Discharge temperature: -10C to 60C. Storage temperature: 0C to 40C
Dimensions &amp; weight: Length (L): 109.5mm (+/- 2mm). Width (W): 75mm (+/- 2mm). Height (H): 64mm (+/- 2mm). Weight: 0,58 kg.</t>
  </si>
  <si>
    <t>WA3556</t>
  </si>
  <si>
    <t>https://auto-mow.com/pl/shop/blades/stihl/stihl-imow-evo-premium-blades/</t>
  </si>
  <si>
    <t>https://auto-mow.com/pl/shop/cable/installation-kits/installation-kit-an-all-in-one-solution-for-a-robot-installation/</t>
  </si>
  <si>
    <t>500m</t>
  </si>
  <si>
    <t>1000m</t>
  </si>
  <si>
    <t>100m</t>
  </si>
  <si>
    <t>150m</t>
  </si>
  <si>
    <t>250m</t>
  </si>
  <si>
    <t>50m</t>
  </si>
  <si>
    <t>9 szt.</t>
  </si>
  <si>
    <t>300 szt.</t>
  </si>
  <si>
    <t>8 szt.</t>
  </si>
  <si>
    <t>24 szt.</t>
  </si>
  <si>
    <t>15 szt.</t>
  </si>
  <si>
    <t>50 szt.</t>
  </si>
  <si>
    <t>3 szt.</t>
  </si>
  <si>
    <t>30 szt.</t>
  </si>
  <si>
    <t>1 szt.</t>
  </si>
  <si>
    <t>2 szt.</t>
  </si>
  <si>
    <t>25 szt.</t>
  </si>
  <si>
    <t>12 szt.</t>
  </si>
  <si>
    <t>5 szt.</t>
  </si>
  <si>
    <t>100 szt.</t>
  </si>
  <si>
    <t>10 szt.</t>
  </si>
  <si>
    <t>4 szt.</t>
  </si>
  <si>
    <t>L</t>
  </si>
  <si>
    <t>M</t>
  </si>
  <si>
    <t>S</t>
  </si>
  <si>
    <t>XL</t>
  </si>
  <si>
    <t>XS</t>
  </si>
  <si>
    <t>25m</t>
  </si>
  <si>
    <t>5m</t>
  </si>
  <si>
    <t>Large-Black</t>
  </si>
  <si>
    <t>Large-Nature</t>
  </si>
  <si>
    <t>Medium-Black</t>
  </si>
  <si>
    <t>Medium-Nature</t>
  </si>
  <si>
    <t>Kategoria</t>
  </si>
  <si>
    <t>Kable</t>
  </si>
  <si>
    <t>Garaże</t>
  </si>
  <si>
    <t>Noże</t>
  </si>
  <si>
    <t>Inne</t>
  </si>
  <si>
    <t>STORM2000</t>
  </si>
  <si>
    <t>STORM4000</t>
  </si>
  <si>
    <t>STORM64000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</si>
</sst>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2]\ * #,##0.00_-;\-[$€-2]\ * #,##0.00_-;_-[$€-2]\ * &quot;-&quot;??_-;_-@_-"/>
    <numFmt numFmtId="165" formatCode="_-* #,##0.00\ [$PLN]_-;\-* #,##0.00\ [$PLN]_-;_-* &quot;-&quot;??\ [$PLN]_-;_-@_-"/>
  </numFmts>
  <fonts count="22" x14ac:knownFonts="1">
    <font>
      <sz val="11"/>
      <color theme="1"/>
      <name val="Aptos Narrow"/>
      <family val="2"/>
      <scheme val="minor"/>
    </font>
    <font>
      <u/>
      <sz val="11"/>
      <color theme="10"/>
      <name val="Aptos Narrow"/>
      <family val="2"/>
      <scheme val="minor"/>
    </font>
    <font>
      <sz val="16"/>
      <name val="Calibri"/>
      <family val="2"/>
    </font>
    <font>
      <b/>
      <sz val="16"/>
      <color rgb="FF000000"/>
      <name val="Calibri"/>
      <family val="2"/>
    </font>
    <font>
      <sz val="8"/>
      <name val="Calibri"/>
      <family val="2"/>
    </font>
    <font>
      <u/>
      <sz val="16"/>
      <color rgb="FF0563C1"/>
      <name val="Calibri"/>
      <family val="2"/>
    </font>
    <font>
      <sz val="16"/>
      <color rgb="FF000000"/>
      <name val="Calibri"/>
      <family val="2"/>
    </font>
    <font>
      <sz val="11"/>
      <color rgb="FF000000"/>
      <name val="Calibri"/>
      <family val="2"/>
    </font>
    <font>
      <sz val="16"/>
      <color rgb="FF181D1F"/>
      <name val="Calibri"/>
      <family val="2"/>
    </font>
    <font>
      <u/>
      <sz val="16"/>
      <name val="Calibri"/>
      <family val="2"/>
    </font>
    <font>
      <b/>
      <sz val="16"/>
      <name val="Calibri"/>
      <family val="2"/>
    </font>
    <font>
      <sz val="16"/>
      <color rgb="FF0B0C0C"/>
      <name val="Calibri"/>
      <family val="2"/>
    </font>
    <font>
      <sz val="16"/>
      <color rgb="FF181D1F"/>
      <name val="Consolas"/>
      <family val="3"/>
    </font>
    <font>
      <sz val="16"/>
      <name val="Open Sans"/>
      <family val="2"/>
    </font>
    <font>
      <sz val="8"/>
      <name val="Open Sans"/>
      <family val="2"/>
    </font>
    <font>
      <sz val="16"/>
      <color rgb="FFFFFFFF"/>
      <name val="Calibri"/>
      <family val="2"/>
    </font>
    <font>
      <b/>
      <sz val="8"/>
      <name val="Calibri"/>
      <family val="2"/>
    </font>
    <font>
      <sz val="12"/>
      <color rgb="FF000000"/>
      <name val="Microsoft Sans Serif"/>
      <family val="2"/>
    </font>
    <font>
      <sz val="12"/>
      <color rgb="FF000000"/>
      <name val="Book Antiqua"/>
      <family val="1"/>
    </font>
    <font>
      <sz val="11"/>
      <color rgb="FF747678"/>
      <name val="Open Sans"/>
      <family val="2"/>
    </font>
    <font>
      <sz val="11"/>
      <color rgb="FF242424"/>
      <name val="Aptos Narrow"/>
      <charset val="1"/>
    </font>
    <font>
      <sz val="12"/>
      <color rgb="FF0F243E"/>
      <name val="Calibri"/>
      <family val="2"/>
    </font>
  </fonts>
  <fills count="16">
    <fill>
      <patternFill patternType="none"/>
    </fill>
    <fill>
      <patternFill patternType="gray125"/>
    </fill>
    <fill>
      <patternFill patternType="solid">
        <fgColor rgb="FF92D050"/>
        <bgColor rgb="FF92D050"/>
      </patternFill>
    </fill>
    <fill>
      <patternFill patternType="solid">
        <fgColor rgb="FFD9D9D9"/>
        <bgColor rgb="FF000000"/>
      </patternFill>
    </fill>
    <fill>
      <patternFill patternType="solid">
        <fgColor rgb="FFFFFFFF"/>
        <bgColor rgb="FFFFFFFF"/>
      </patternFill>
    </fill>
    <fill>
      <patternFill patternType="solid">
        <fgColor rgb="FFFFFFFF"/>
        <bgColor rgb="FF000000"/>
      </patternFill>
    </fill>
    <fill>
      <patternFill patternType="solid">
        <fgColor rgb="FFED7D31"/>
        <bgColor rgb="FF000000"/>
      </patternFill>
    </fill>
    <fill>
      <patternFill patternType="solid">
        <fgColor rgb="FFED7D31"/>
        <bgColor rgb="FFFFFFFF"/>
      </patternFill>
    </fill>
    <fill>
      <patternFill patternType="solid">
        <fgColor rgb="FFD9D9D9"/>
        <bgColor rgb="FFEDEDED"/>
      </patternFill>
    </fill>
    <fill>
      <patternFill patternType="solid">
        <fgColor rgb="FF92D050"/>
        <bgColor rgb="FF000000"/>
      </patternFill>
    </fill>
    <fill>
      <patternFill patternType="solid">
        <fgColor rgb="FF92D050"/>
        <bgColor rgb="FFEDEDED"/>
      </patternFill>
    </fill>
    <fill>
      <patternFill patternType="solid">
        <fgColor rgb="FFFFFFFF"/>
        <bgColor rgb="FFEDEDED"/>
      </patternFill>
    </fill>
    <fill>
      <patternFill patternType="solid">
        <fgColor rgb="FFFFFFFF"/>
        <bgColor rgb="FFED7D31"/>
      </patternFill>
    </fill>
    <fill>
      <patternFill patternType="solid">
        <fgColor rgb="FFED7D31"/>
        <bgColor rgb="FFED7D31"/>
      </patternFill>
    </fill>
    <fill>
      <patternFill patternType="solid">
        <fgColor rgb="FFFFF2CC"/>
        <bgColor rgb="FFFFFFCC"/>
      </patternFill>
    </fill>
    <fill>
      <patternFill patternType="solid">
        <fgColor rgb="FFFFF2CC"/>
        <bgColor rgb="FF000000"/>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rgb="FF70AD47"/>
      </top>
      <bottom/>
      <diagonal/>
    </border>
    <border>
      <left style="thin">
        <color rgb="FF70AD47"/>
      </left>
      <right/>
      <top style="thin">
        <color rgb="FF70AD47"/>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right/>
      <top style="thin">
        <color rgb="FF70AD47"/>
      </top>
      <bottom/>
      <diagonal/>
    </border>
    <border>
      <left style="thin">
        <color indexed="64"/>
      </left>
      <right style="thin">
        <color indexed="64"/>
      </right>
      <top style="thin">
        <color rgb="FF70AD47"/>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indexed="64"/>
      </left>
      <right style="thin">
        <color indexed="64"/>
      </right>
      <top style="thin">
        <color indexed="64"/>
      </top>
      <bottom style="thin">
        <color rgb="FF70AD47"/>
      </bottom>
      <diagonal/>
    </border>
    <border>
      <left style="thin">
        <color indexed="64"/>
      </left>
      <right style="thin">
        <color indexed="64"/>
      </right>
      <top style="thin">
        <color rgb="FF70AD47"/>
      </top>
      <bottom style="thin">
        <color rgb="FF70AD47"/>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medium">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3">
    <xf numFmtId="0" fontId="0" fillId="0" borderId="0"/>
    <xf numFmtId="0" fontId="1" fillId="0" borderId="0" applyNumberFormat="0" applyFill="0" applyBorder="0" applyAlignment="0" applyProtection="0"/>
    <xf numFmtId="0" fontId="1" fillId="0" borderId="0" applyNumberFormat="0" applyFill="0" applyBorder="0" applyAlignment="0" applyProtection="0"/>
  </cellStyleXfs>
  <cellXfs count="160">
    <xf numFmtId="0" fontId="0" fillId="0" borderId="0" xfId="0"/>
    <xf numFmtId="0" fontId="2" fillId="2" borderId="1" xfId="0" applyFont="1" applyFill="1" applyBorder="1"/>
    <xf numFmtId="0" fontId="3" fillId="3" borderId="1" xfId="0" applyFont="1" applyFill="1" applyBorder="1"/>
    <xf numFmtId="0" fontId="2" fillId="4" borderId="1" xfId="0" applyFont="1" applyFill="1" applyBorder="1" applyAlignment="1">
      <alignment wrapText="1"/>
    </xf>
    <xf numFmtId="0" fontId="1" fillId="0" borderId="1" xfId="1" applyFill="1" applyBorder="1" applyAlignment="1"/>
    <xf numFmtId="0" fontId="2" fillId="4" borderId="1" xfId="0" applyFont="1" applyFill="1" applyBorder="1"/>
    <xf numFmtId="0" fontId="2" fillId="5" borderId="1" xfId="0" applyFont="1" applyFill="1" applyBorder="1"/>
    <xf numFmtId="0" fontId="2" fillId="0" borderId="1" xfId="0" applyFont="1" applyBorder="1"/>
    <xf numFmtId="0" fontId="4" fillId="0" borderId="1" xfId="0" applyFont="1" applyBorder="1" applyAlignment="1">
      <alignment wrapText="1"/>
    </xf>
    <xf numFmtId="0" fontId="5" fillId="0" borderId="1" xfId="0" applyFont="1" applyBorder="1"/>
    <xf numFmtId="0" fontId="2" fillId="0" borderId="1" xfId="0" applyFont="1" applyBorder="1" applyAlignment="1">
      <alignment wrapText="1"/>
    </xf>
    <xf numFmtId="0" fontId="6" fillId="0" borderId="1" xfId="0" applyFont="1" applyBorder="1"/>
    <xf numFmtId="0" fontId="9" fillId="0" borderId="1" xfId="0" applyFont="1" applyBorder="1"/>
    <xf numFmtId="0" fontId="2" fillId="2" borderId="2" xfId="0" applyFont="1" applyFill="1" applyBorder="1"/>
    <xf numFmtId="0" fontId="2" fillId="6" borderId="1" xfId="0" applyFont="1" applyFill="1" applyBorder="1"/>
    <xf numFmtId="0" fontId="2" fillId="7" borderId="1" xfId="0" applyFont="1" applyFill="1" applyBorder="1"/>
    <xf numFmtId="0" fontId="2" fillId="7" borderId="3" xfId="0" applyFont="1" applyFill="1" applyBorder="1"/>
    <xf numFmtId="0" fontId="5" fillId="0" borderId="4" xfId="0" applyFont="1" applyBorder="1"/>
    <xf numFmtId="0" fontId="2" fillId="4" borderId="3" xfId="0" applyFont="1" applyFill="1" applyBorder="1"/>
    <xf numFmtId="0" fontId="2" fillId="2" borderId="5" xfId="0" applyFont="1" applyFill="1" applyBorder="1"/>
    <xf numFmtId="0" fontId="10" fillId="8" borderId="1" xfId="0" applyFont="1" applyFill="1" applyBorder="1"/>
    <xf numFmtId="0" fontId="10" fillId="3" borderId="1" xfId="0" applyFont="1" applyFill="1" applyBorder="1"/>
    <xf numFmtId="0" fontId="2" fillId="9" borderId="1" xfId="0" applyFont="1" applyFill="1" applyBorder="1"/>
    <xf numFmtId="0" fontId="1" fillId="4" borderId="1" xfId="1" applyFill="1" applyBorder="1" applyAlignment="1"/>
    <xf numFmtId="0" fontId="2" fillId="9" borderId="4" xfId="0" applyFont="1" applyFill="1" applyBorder="1"/>
    <xf numFmtId="0" fontId="9" fillId="4" borderId="1" xfId="0" applyFont="1" applyFill="1" applyBorder="1"/>
    <xf numFmtId="0" fontId="1" fillId="0" borderId="8" xfId="1" applyFill="1" applyBorder="1" applyAlignment="1"/>
    <xf numFmtId="0" fontId="4" fillId="0" borderId="8" xfId="0" applyFont="1" applyBorder="1" applyAlignment="1">
      <alignment wrapText="1"/>
    </xf>
    <xf numFmtId="0" fontId="6" fillId="5" borderId="1" xfId="0" applyFont="1" applyFill="1" applyBorder="1"/>
    <xf numFmtId="0" fontId="2" fillId="5" borderId="1" xfId="0" applyFont="1" applyFill="1" applyBorder="1" applyAlignment="1">
      <alignment wrapText="1"/>
    </xf>
    <xf numFmtId="0" fontId="4" fillId="0" borderId="8" xfId="0" applyFont="1" applyBorder="1"/>
    <xf numFmtId="0" fontId="9" fillId="5" borderId="1" xfId="0" applyFont="1" applyFill="1" applyBorder="1"/>
    <xf numFmtId="0" fontId="4" fillId="5" borderId="1" xfId="0" applyFont="1" applyFill="1" applyBorder="1" applyAlignment="1">
      <alignment wrapText="1"/>
    </xf>
    <xf numFmtId="0" fontId="4" fillId="5" borderId="1" xfId="0" applyFont="1" applyFill="1" applyBorder="1"/>
    <xf numFmtId="0" fontId="2" fillId="10" borderId="1" xfId="0" applyFont="1" applyFill="1" applyBorder="1"/>
    <xf numFmtId="0" fontId="2" fillId="11" borderId="1" xfId="0" applyFont="1" applyFill="1" applyBorder="1" applyAlignment="1">
      <alignment wrapText="1"/>
    </xf>
    <xf numFmtId="0" fontId="3" fillId="3" borderId="8" xfId="0" applyFont="1" applyFill="1" applyBorder="1"/>
    <xf numFmtId="0" fontId="6" fillId="6" borderId="1" xfId="0" applyFont="1" applyFill="1" applyBorder="1"/>
    <xf numFmtId="0" fontId="4" fillId="0" borderId="4" xfId="0" applyFont="1" applyBorder="1" applyAlignment="1">
      <alignment wrapText="1"/>
    </xf>
    <xf numFmtId="0" fontId="2" fillId="12" borderId="1" xfId="0" applyFont="1" applyFill="1" applyBorder="1"/>
    <xf numFmtId="0" fontId="4" fillId="0" borderId="1" xfId="0" applyFont="1" applyBorder="1"/>
    <xf numFmtId="0" fontId="2" fillId="0" borderId="8" xfId="0" applyFont="1" applyBorder="1" applyAlignment="1">
      <alignment wrapText="1"/>
    </xf>
    <xf numFmtId="0" fontId="1" fillId="5" borderId="1" xfId="1" applyFill="1" applyBorder="1" applyAlignment="1"/>
    <xf numFmtId="0" fontId="13" fillId="0" borderId="1" xfId="0" applyFont="1" applyBorder="1" applyAlignment="1">
      <alignment wrapText="1"/>
    </xf>
    <xf numFmtId="0" fontId="14" fillId="0" borderId="8" xfId="0" applyFont="1" applyBorder="1" applyAlignment="1">
      <alignment wrapText="1"/>
    </xf>
    <xf numFmtId="0" fontId="2" fillId="4" borderId="8" xfId="0" applyFont="1" applyFill="1" applyBorder="1"/>
    <xf numFmtId="0" fontId="9" fillId="0" borderId="3" xfId="0" applyFont="1" applyBorder="1"/>
    <xf numFmtId="0" fontId="6" fillId="0" borderId="3" xfId="0" applyFont="1" applyBorder="1"/>
    <xf numFmtId="0" fontId="2" fillId="4" borderId="9" xfId="0" applyFont="1" applyFill="1" applyBorder="1"/>
    <xf numFmtId="0" fontId="1" fillId="5" borderId="9" xfId="1" applyFill="1" applyBorder="1" applyAlignment="1"/>
    <xf numFmtId="0" fontId="4" fillId="0" borderId="9" xfId="0" applyFont="1" applyBorder="1" applyAlignment="1">
      <alignment wrapText="1"/>
    </xf>
    <xf numFmtId="0" fontId="2" fillId="4" borderId="1" xfId="0" quotePrefix="1" applyFont="1" applyFill="1" applyBorder="1"/>
    <xf numFmtId="0" fontId="1" fillId="0" borderId="3" xfId="1" applyFill="1" applyBorder="1" applyAlignment="1"/>
    <xf numFmtId="0" fontId="4" fillId="0" borderId="3" xfId="0" applyFont="1" applyBorder="1" applyAlignment="1">
      <alignment wrapText="1"/>
    </xf>
    <xf numFmtId="0" fontId="4" fillId="0" borderId="3" xfId="0" applyFont="1" applyBorder="1"/>
    <xf numFmtId="0" fontId="15" fillId="6" borderId="1" xfId="0" applyFont="1" applyFill="1" applyBorder="1"/>
    <xf numFmtId="0" fontId="2" fillId="13" borderId="1" xfId="0" applyFont="1" applyFill="1" applyBorder="1"/>
    <xf numFmtId="0" fontId="16" fillId="0" borderId="1" xfId="0" applyFont="1" applyBorder="1" applyAlignment="1">
      <alignment wrapText="1"/>
    </xf>
    <xf numFmtId="0" fontId="6" fillId="0" borderId="1" xfId="0" applyFont="1" applyBorder="1" applyAlignment="1">
      <alignment wrapText="1"/>
    </xf>
    <xf numFmtId="0" fontId="3" fillId="3" borderId="1" xfId="0" applyFont="1" applyFill="1" applyBorder="1" applyAlignment="1">
      <alignment wrapText="1"/>
    </xf>
    <xf numFmtId="0" fontId="6" fillId="5" borderId="8" xfId="0" applyFont="1" applyFill="1" applyBorder="1" applyAlignment="1">
      <alignment wrapText="1"/>
    </xf>
    <xf numFmtId="0" fontId="5" fillId="0" borderId="1" xfId="0" applyFont="1" applyBorder="1" applyAlignment="1">
      <alignment wrapText="1"/>
    </xf>
    <xf numFmtId="0" fontId="5" fillId="6" borderId="1" xfId="0" applyFont="1" applyFill="1" applyBorder="1"/>
    <xf numFmtId="0" fontId="2" fillId="0" borderId="4" xfId="0" applyFont="1" applyBorder="1" applyAlignment="1">
      <alignment wrapText="1"/>
    </xf>
    <xf numFmtId="0" fontId="6" fillId="0" borderId="3" xfId="0" applyFont="1" applyBorder="1" applyAlignment="1">
      <alignment wrapText="1"/>
    </xf>
    <xf numFmtId="0" fontId="2" fillId="4" borderId="3" xfId="0" applyFont="1" applyFill="1" applyBorder="1" applyAlignment="1">
      <alignment wrapText="1"/>
    </xf>
    <xf numFmtId="0" fontId="2" fillId="0" borderId="3" xfId="0" applyFont="1" applyBorder="1"/>
    <xf numFmtId="0" fontId="5" fillId="0" borderId="3" xfId="0" applyFont="1" applyBorder="1" applyAlignment="1">
      <alignment wrapText="1"/>
    </xf>
    <xf numFmtId="0" fontId="2" fillId="0" borderId="3" xfId="0" applyFont="1" applyBorder="1" applyAlignment="1">
      <alignment wrapText="1"/>
    </xf>
    <xf numFmtId="0" fontId="6" fillId="5" borderId="1" xfId="0" applyFont="1" applyFill="1" applyBorder="1" applyAlignment="1">
      <alignment wrapText="1"/>
    </xf>
    <xf numFmtId="0" fontId="5" fillId="5" borderId="1" xfId="0" applyFont="1" applyFill="1" applyBorder="1" applyAlignment="1">
      <alignment wrapText="1"/>
    </xf>
    <xf numFmtId="0" fontId="5" fillId="6" borderId="3" xfId="0" applyFont="1" applyFill="1" applyBorder="1"/>
    <xf numFmtId="0" fontId="2" fillId="2" borderId="6" xfId="0" applyFont="1" applyFill="1" applyBorder="1"/>
    <xf numFmtId="0" fontId="10" fillId="3" borderId="3" xfId="0" applyFont="1" applyFill="1" applyBorder="1"/>
    <xf numFmtId="0" fontId="2" fillId="4" borderId="8" xfId="0" applyFont="1" applyFill="1" applyBorder="1" applyAlignment="1">
      <alignment wrapText="1"/>
    </xf>
    <xf numFmtId="0" fontId="3" fillId="3" borderId="3" xfId="0" applyFont="1" applyFill="1" applyBorder="1"/>
    <xf numFmtId="0" fontId="6" fillId="0" borderId="8" xfId="0" applyFont="1" applyBorder="1" applyAlignment="1">
      <alignment wrapText="1"/>
    </xf>
    <xf numFmtId="0" fontId="9" fillId="5" borderId="3" xfId="0" applyFont="1" applyFill="1" applyBorder="1"/>
    <xf numFmtId="0" fontId="2" fillId="9" borderId="6" xfId="0" applyFont="1" applyFill="1" applyBorder="1"/>
    <xf numFmtId="0" fontId="2" fillId="11" borderId="8" xfId="0" applyFont="1" applyFill="1" applyBorder="1" applyAlignment="1">
      <alignment wrapText="1"/>
    </xf>
    <xf numFmtId="0" fontId="5" fillId="0" borderId="3" xfId="0" applyFont="1" applyBorder="1"/>
    <xf numFmtId="0" fontId="2" fillId="9" borderId="2" xfId="0" applyFont="1" applyFill="1" applyBorder="1"/>
    <xf numFmtId="0" fontId="10" fillId="8" borderId="3" xfId="0" applyFont="1" applyFill="1" applyBorder="1"/>
    <xf numFmtId="0" fontId="5" fillId="0" borderId="8" xfId="0" applyFont="1" applyBorder="1" applyAlignment="1">
      <alignment wrapText="1"/>
    </xf>
    <xf numFmtId="0" fontId="5" fillId="0" borderId="8" xfId="0" applyFont="1" applyBorder="1"/>
    <xf numFmtId="0" fontId="6" fillId="9" borderId="6" xfId="0" applyFont="1" applyFill="1" applyBorder="1"/>
    <xf numFmtId="0" fontId="3" fillId="3" borderId="3" xfId="0" applyFont="1" applyFill="1" applyBorder="1" applyAlignment="1">
      <alignment wrapText="1"/>
    </xf>
    <xf numFmtId="0" fontId="6" fillId="5" borderId="3" xfId="0" applyFont="1" applyFill="1" applyBorder="1"/>
    <xf numFmtId="0" fontId="2" fillId="5" borderId="3" xfId="0" applyFont="1" applyFill="1" applyBorder="1" applyAlignment="1">
      <alignment wrapText="1"/>
    </xf>
    <xf numFmtId="0" fontId="2" fillId="5" borderId="3" xfId="0" applyFont="1" applyFill="1" applyBorder="1"/>
    <xf numFmtId="0" fontId="2" fillId="6" borderId="3" xfId="0" applyFont="1" applyFill="1" applyBorder="1"/>
    <xf numFmtId="0" fontId="2" fillId="9" borderId="5" xfId="0" applyFont="1" applyFill="1" applyBorder="1"/>
    <xf numFmtId="0" fontId="6" fillId="5" borderId="3" xfId="0" applyFont="1" applyFill="1" applyBorder="1" applyAlignment="1">
      <alignment wrapText="1"/>
    </xf>
    <xf numFmtId="0" fontId="1" fillId="5" borderId="3" xfId="1" applyFill="1" applyBorder="1" applyAlignment="1"/>
    <xf numFmtId="0" fontId="5" fillId="5" borderId="3" xfId="0" applyFont="1" applyFill="1" applyBorder="1" applyAlignment="1">
      <alignment wrapText="1"/>
    </xf>
    <xf numFmtId="0" fontId="5" fillId="5" borderId="3" xfId="0" applyFont="1" applyFill="1" applyBorder="1"/>
    <xf numFmtId="0" fontId="10" fillId="3" borderId="8" xfId="0" applyFont="1" applyFill="1" applyBorder="1"/>
    <xf numFmtId="0" fontId="2" fillId="0" borderId="10" xfId="0" applyFont="1" applyBorder="1" applyAlignment="1">
      <alignment wrapText="1"/>
    </xf>
    <xf numFmtId="0" fontId="2" fillId="0" borderId="4" xfId="0" applyFont="1" applyBorder="1"/>
    <xf numFmtId="0" fontId="9" fillId="0" borderId="4" xfId="0" applyFont="1" applyBorder="1"/>
    <xf numFmtId="0" fontId="2" fillId="4" borderId="4" xfId="0" applyFont="1" applyFill="1" applyBorder="1"/>
    <xf numFmtId="0" fontId="17" fillId="0" borderId="10" xfId="0" applyFont="1" applyBorder="1" applyAlignment="1">
      <alignment wrapText="1"/>
    </xf>
    <xf numFmtId="0" fontId="3" fillId="3" borderId="8" xfId="0" applyFont="1" applyFill="1" applyBorder="1" applyAlignment="1">
      <alignment wrapText="1"/>
    </xf>
    <xf numFmtId="0" fontId="10" fillId="3" borderId="8" xfId="0" applyFont="1" applyFill="1" applyBorder="1" applyAlignment="1">
      <alignment wrapText="1"/>
    </xf>
    <xf numFmtId="11" fontId="18" fillId="0" borderId="10" xfId="0" applyNumberFormat="1" applyFont="1" applyBorder="1" applyAlignment="1">
      <alignment wrapText="1"/>
    </xf>
    <xf numFmtId="0" fontId="19" fillId="0" borderId="8" xfId="0" applyFont="1" applyBorder="1" applyAlignment="1">
      <alignment wrapText="1"/>
    </xf>
    <xf numFmtId="0" fontId="17" fillId="0" borderId="11" xfId="0" applyFont="1" applyBorder="1" applyAlignment="1">
      <alignment wrapText="1"/>
    </xf>
    <xf numFmtId="0" fontId="2" fillId="4" borderId="12" xfId="0" applyFont="1" applyFill="1" applyBorder="1" applyAlignment="1">
      <alignment wrapText="1"/>
    </xf>
    <xf numFmtId="0" fontId="2" fillId="0" borderId="12" xfId="0" applyFont="1" applyBorder="1"/>
    <xf numFmtId="0" fontId="9" fillId="0" borderId="12" xfId="0" applyFont="1" applyBorder="1"/>
    <xf numFmtId="0" fontId="2" fillId="4" borderId="12" xfId="0" applyFont="1" applyFill="1" applyBorder="1"/>
    <xf numFmtId="0" fontId="2" fillId="0" borderId="13" xfId="0" applyFont="1" applyBorder="1" applyAlignment="1">
      <alignment wrapText="1"/>
    </xf>
    <xf numFmtId="0" fontId="2" fillId="0" borderId="12" xfId="0" applyFont="1" applyBorder="1" applyAlignment="1">
      <alignment wrapText="1"/>
    </xf>
    <xf numFmtId="0" fontId="17" fillId="0" borderId="12" xfId="0" applyFont="1" applyBorder="1" applyAlignment="1">
      <alignment wrapText="1"/>
    </xf>
    <xf numFmtId="0" fontId="10" fillId="14" borderId="14" xfId="0" applyFont="1" applyFill="1" applyBorder="1" applyAlignment="1">
      <alignment wrapText="1"/>
    </xf>
    <xf numFmtId="0" fontId="10" fillId="14" borderId="15" xfId="0" applyFont="1" applyFill="1" applyBorder="1"/>
    <xf numFmtId="0" fontId="10" fillId="14" borderId="15" xfId="0" applyFont="1" applyFill="1" applyBorder="1" applyAlignment="1">
      <alignment wrapText="1"/>
    </xf>
    <xf numFmtId="0" fontId="7" fillId="15" borderId="0" xfId="0" applyFont="1" applyFill="1"/>
    <xf numFmtId="0" fontId="10" fillId="14" borderId="8" xfId="0" applyFont="1" applyFill="1" applyBorder="1" applyAlignment="1">
      <alignment horizontal="left"/>
    </xf>
    <xf numFmtId="0" fontId="6" fillId="0" borderId="1" xfId="0" applyFont="1" applyBorder="1" applyAlignment="1">
      <alignment horizontal="left"/>
    </xf>
    <xf numFmtId="0" fontId="6" fillId="5" borderId="1" xfId="0" applyFont="1" applyFill="1" applyBorder="1" applyAlignment="1">
      <alignment horizontal="left"/>
    </xf>
    <xf numFmtId="0" fontId="8" fillId="0" borderId="1" xfId="0" applyFont="1" applyBorder="1" applyAlignment="1">
      <alignment horizontal="left"/>
    </xf>
    <xf numFmtId="0" fontId="6" fillId="5" borderId="8" xfId="0" applyFont="1" applyFill="1" applyBorder="1" applyAlignment="1">
      <alignment horizontal="left"/>
    </xf>
    <xf numFmtId="0" fontId="6" fillId="0" borderId="3" xfId="0" applyFont="1" applyBorder="1" applyAlignment="1">
      <alignment horizontal="left"/>
    </xf>
    <xf numFmtId="0" fontId="6" fillId="0" borderId="9" xfId="0" applyFont="1" applyBorder="1" applyAlignment="1">
      <alignment horizontal="left"/>
    </xf>
    <xf numFmtId="0" fontId="6" fillId="0" borderId="8" xfId="0" applyFont="1" applyBorder="1" applyAlignment="1">
      <alignment horizontal="left"/>
    </xf>
    <xf numFmtId="0" fontId="12" fillId="0" borderId="1" xfId="0" applyFont="1" applyBorder="1" applyAlignment="1">
      <alignment horizontal="left"/>
    </xf>
    <xf numFmtId="0" fontId="6" fillId="5" borderId="3" xfId="0" applyFont="1" applyFill="1" applyBorder="1" applyAlignment="1">
      <alignment horizontal="left"/>
    </xf>
    <xf numFmtId="0" fontId="2" fillId="0" borderId="9" xfId="0" applyFont="1" applyBorder="1" applyAlignment="1">
      <alignment horizontal="left"/>
    </xf>
    <xf numFmtId="0" fontId="2" fillId="0" borderId="1" xfId="0" applyFont="1" applyBorder="1" applyAlignment="1">
      <alignment horizontal="left"/>
    </xf>
    <xf numFmtId="0" fontId="0" fillId="0" borderId="0" xfId="0" applyAlignment="1">
      <alignment horizontal="left"/>
    </xf>
    <xf numFmtId="0" fontId="10" fillId="14" borderId="15" xfId="0" applyFont="1" applyFill="1" applyBorder="1" applyAlignment="1">
      <alignment horizontal="left"/>
    </xf>
    <xf numFmtId="0" fontId="11" fillId="0" borderId="1" xfId="0" applyFont="1" applyBorder="1" applyAlignment="1">
      <alignment horizontal="left"/>
    </xf>
    <xf numFmtId="0" fontId="2" fillId="0" borderId="8" xfId="0" applyFont="1" applyBorder="1" applyAlignment="1">
      <alignment horizontal="left"/>
    </xf>
    <xf numFmtId="0" fontId="2" fillId="0" borderId="1" xfId="0" applyFont="1" applyBorder="1" applyAlignment="1">
      <alignment horizontal="left" wrapText="1"/>
    </xf>
    <xf numFmtId="0" fontId="2" fillId="0" borderId="3" xfId="0" applyFont="1" applyBorder="1" applyAlignment="1">
      <alignment horizontal="left"/>
    </xf>
    <xf numFmtId="0" fontId="20" fillId="0" borderId="0" xfId="0" applyFont="1"/>
    <xf numFmtId="0" fontId="21" fillId="5" borderId="16" xfId="0" applyFont="1" applyFill="1" applyBorder="1"/>
    <xf numFmtId="164" fontId="10" fillId="14" borderId="15" xfId="0" applyNumberFormat="1" applyFont="1" applyFill="1" applyBorder="1"/>
    <xf numFmtId="164" fontId="1" fillId="0" borderId="1" xfId="1" applyNumberFormat="1" applyFill="1" applyBorder="1" applyAlignment="1"/>
    <xf numFmtId="164" fontId="5" fillId="0" borderId="1" xfId="0" applyNumberFormat="1" applyFont="1" applyBorder="1"/>
    <xf numFmtId="164" fontId="1" fillId="0" borderId="0" xfId="1" applyNumberFormat="1" applyFill="1" applyBorder="1" applyAlignment="1"/>
    <xf numFmtId="164" fontId="6" fillId="6" borderId="1" xfId="0" applyNumberFormat="1" applyFont="1" applyFill="1" applyBorder="1"/>
    <xf numFmtId="164" fontId="2" fillId="6" borderId="1" xfId="0" applyNumberFormat="1" applyFont="1" applyFill="1" applyBorder="1"/>
    <xf numFmtId="164" fontId="1" fillId="0" borderId="7" xfId="1" applyNumberFormat="1" applyFill="1" applyBorder="1" applyAlignment="1"/>
    <xf numFmtId="164" fontId="1" fillId="0" borderId="3" xfId="1" applyNumberFormat="1" applyFill="1" applyBorder="1" applyAlignment="1"/>
    <xf numFmtId="164" fontId="2" fillId="0" borderId="1" xfId="0" applyNumberFormat="1" applyFont="1" applyBorder="1"/>
    <xf numFmtId="164" fontId="1" fillId="5" borderId="1" xfId="1" applyNumberFormat="1" applyFill="1" applyBorder="1" applyAlignment="1"/>
    <xf numFmtId="164" fontId="5" fillId="0" borderId="3" xfId="0" applyNumberFormat="1" applyFont="1" applyBorder="1"/>
    <xf numFmtId="164" fontId="1" fillId="5" borderId="3" xfId="1" applyNumberFormat="1" applyFill="1" applyBorder="1" applyAlignment="1"/>
    <xf numFmtId="164" fontId="2" fillId="0" borderId="4" xfId="0" applyNumberFormat="1" applyFont="1" applyBorder="1"/>
    <xf numFmtId="164" fontId="2" fillId="0" borderId="12" xfId="0" applyNumberFormat="1" applyFont="1" applyBorder="1"/>
    <xf numFmtId="164" fontId="0" fillId="0" borderId="0" xfId="0" applyNumberFormat="1"/>
    <xf numFmtId="0" fontId="1" fillId="0" borderId="0" xfId="1"/>
    <xf numFmtId="0" fontId="1" fillId="0" borderId="1" xfId="2" applyBorder="1"/>
    <xf numFmtId="165" fontId="1" fillId="0" borderId="1" xfId="1" applyNumberFormat="1" applyFill="1" applyBorder="1" applyAlignment="1"/>
    <xf numFmtId="0" fontId="1" fillId="0" borderId="1" xfId="1" applyBorder="1"/>
    <xf numFmtId="0" fontId="4" fillId="0" borderId="0" xfId="0" applyFont="1" applyAlignment="1">
      <alignment wrapText="1"/>
    </xf>
    <xf numFmtId="0" fontId="2" fillId="2" borderId="17" xfId="0" applyFont="1" applyFill="1" applyBorder="1"/>
    <xf numFmtId="0" fontId="2" fillId="4" borderId="18" xfId="0" applyFont="1" applyFill="1" applyBorder="1" applyAlignment="1">
      <alignment wrapText="1"/>
    </xf>
  </cellXfs>
  <cellStyles count="3">
    <cellStyle name="Hiperłącze" xfId="1" builtinId="8"/>
    <cellStyle name="Hyperlink" xfId="2" xr:uid="{00000000-000B-0000-0000-000008000000}"/>
    <cellStyle name="Normalny"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e.tl/t-q7Zp17ynwf" TargetMode="External"/><Relationship Id="rId117" Type="http://schemas.openxmlformats.org/officeDocument/2006/relationships/hyperlink" Target="https://auto-mow.com/shop/hybrid-grass/am-hybrid-grass/" TargetMode="External"/><Relationship Id="rId21" Type="http://schemas.openxmlformats.org/officeDocument/2006/relationships/hyperlink" Target="https://auto-mow.com/shopold/boundary-cable/standard-cable/standard-cable-34mm/" TargetMode="External"/><Relationship Id="rId42" Type="http://schemas.openxmlformats.org/officeDocument/2006/relationships/hyperlink" Target="https://auto-mow.com/shopold/boundary-cable/impact-safety-cable/38mm-premium-safety-cable/" TargetMode="External"/><Relationship Id="rId47" Type="http://schemas.openxmlformats.org/officeDocument/2006/relationships/hyperlink" Target="https://we.tl/t-XUWeMnR7Ss" TargetMode="External"/><Relationship Id="rId63" Type="http://schemas.openxmlformats.org/officeDocument/2006/relationships/hyperlink" Target="https://we.tl/t-XpWvPfPzfd" TargetMode="External"/><Relationship Id="rId68" Type="http://schemas.openxmlformats.org/officeDocument/2006/relationships/hyperlink" Target="https://we.tl/t-2Nld0ZOHfV" TargetMode="External"/><Relationship Id="rId84" Type="http://schemas.openxmlformats.org/officeDocument/2006/relationships/hyperlink" Target="https://we.tl/t-PxlGfjhwCl" TargetMode="External"/><Relationship Id="rId89" Type="http://schemas.openxmlformats.org/officeDocument/2006/relationships/hyperlink" Target="https://we.tl/t-PsEuZV43tY" TargetMode="External"/><Relationship Id="rId112" Type="http://schemas.openxmlformats.org/officeDocument/2006/relationships/hyperlink" Target="https://we.tl/t-HxbnL7YcD1" TargetMode="External"/><Relationship Id="rId133" Type="http://schemas.openxmlformats.org/officeDocument/2006/relationships/hyperlink" Target="https://we.tl/t-57xTipiXHM" TargetMode="External"/><Relationship Id="rId138" Type="http://schemas.openxmlformats.org/officeDocument/2006/relationships/hyperlink" Target="https://we.tl/t-n626VSpJo2" TargetMode="External"/><Relationship Id="rId154" Type="http://schemas.openxmlformats.org/officeDocument/2006/relationships/hyperlink" Target="https://we.tl/t-ryYgnrjO29" TargetMode="External"/><Relationship Id="rId159" Type="http://schemas.openxmlformats.org/officeDocument/2006/relationships/hyperlink" Target="https://we.tl/t-XAMYzxLP4M" TargetMode="External"/><Relationship Id="rId16" Type="http://schemas.openxmlformats.org/officeDocument/2006/relationships/hyperlink" Target="https://we.tl/t-q7Zp17ynwf" TargetMode="External"/><Relationship Id="rId107" Type="http://schemas.openxmlformats.org/officeDocument/2006/relationships/hyperlink" Target="https://auto-mow.com/shopold/accessories/blades/worx-blades-12-pcs-all-models/" TargetMode="External"/><Relationship Id="rId11" Type="http://schemas.openxmlformats.org/officeDocument/2006/relationships/hyperlink" Target="https://we.tl/t-kILhkLQ4uu" TargetMode="External"/><Relationship Id="rId32" Type="http://schemas.openxmlformats.org/officeDocument/2006/relationships/hyperlink" Target="https://we.tl/t-q7Zp17ynwf" TargetMode="External"/><Relationship Id="rId37" Type="http://schemas.openxmlformats.org/officeDocument/2006/relationships/hyperlink" Target="https://auto-mow.com/shopold/boundary-cable/standard-cable/orange-cable-34mm/" TargetMode="External"/><Relationship Id="rId53" Type="http://schemas.openxmlformats.org/officeDocument/2006/relationships/hyperlink" Target="https://auto-mow.com/shopold/garages/bigmow-sponsor-home/" TargetMode="External"/><Relationship Id="rId58" Type="http://schemas.openxmlformats.org/officeDocument/2006/relationships/hyperlink" Target="https://we.tl/t-OTJKX7YPhl" TargetMode="External"/><Relationship Id="rId74" Type="http://schemas.openxmlformats.org/officeDocument/2006/relationships/hyperlink" Target="https://we.tl/t-c2nwA1qfdT" TargetMode="External"/><Relationship Id="rId79" Type="http://schemas.openxmlformats.org/officeDocument/2006/relationships/hyperlink" Target="https://we.tl/t-PxlGfjhwCl" TargetMode="External"/><Relationship Id="rId102" Type="http://schemas.openxmlformats.org/officeDocument/2006/relationships/hyperlink" Target="https://we.tl/t-XAMYzxLP4M" TargetMode="External"/><Relationship Id="rId123" Type="http://schemas.openxmlformats.org/officeDocument/2006/relationships/hyperlink" Target="https://we.tl/t-tNoqgzZqho" TargetMode="External"/><Relationship Id="rId128" Type="http://schemas.openxmlformats.org/officeDocument/2006/relationships/hyperlink" Target="https://we.tl/t-5zw622RVSh" TargetMode="External"/><Relationship Id="rId144" Type="http://schemas.openxmlformats.org/officeDocument/2006/relationships/hyperlink" Target="https://we.tl/t-PJmkWxPqeM" TargetMode="External"/><Relationship Id="rId149" Type="http://schemas.openxmlformats.org/officeDocument/2006/relationships/hyperlink" Target="https://we.tl/t-4ybG1uyeoD" TargetMode="External"/><Relationship Id="rId5" Type="http://schemas.openxmlformats.org/officeDocument/2006/relationships/hyperlink" Target="https://we.tl/t-kILhkLQ4uu" TargetMode="External"/><Relationship Id="rId90" Type="http://schemas.openxmlformats.org/officeDocument/2006/relationships/hyperlink" Target="https://we.tl/t-PsEuZV43tY" TargetMode="External"/><Relationship Id="rId95" Type="http://schemas.openxmlformats.org/officeDocument/2006/relationships/hyperlink" Target="https://auto-mow.com/shopold/boundary-cable/impact-safety-cable/38mm-premium-safety-cable/" TargetMode="External"/><Relationship Id="rId160" Type="http://schemas.openxmlformats.org/officeDocument/2006/relationships/hyperlink" Target="https://we.tl/t-XAMYzxLP4M" TargetMode="External"/><Relationship Id="rId165" Type="http://schemas.openxmlformats.org/officeDocument/2006/relationships/hyperlink" Target="https://auto-mow.com/pl/shop/blades/stihl/stihl-imow-evo-premium-blades/" TargetMode="External"/><Relationship Id="rId22" Type="http://schemas.openxmlformats.org/officeDocument/2006/relationships/hyperlink" Target="https://we.tl/t-q7Zp17ynwf" TargetMode="External"/><Relationship Id="rId27" Type="http://schemas.openxmlformats.org/officeDocument/2006/relationships/hyperlink" Target="https://auto-mow.com/shopold/boundary-cable/standard-cable/34mm-black-standard-cable-copy/" TargetMode="External"/><Relationship Id="rId43" Type="http://schemas.openxmlformats.org/officeDocument/2006/relationships/hyperlink" Target="https://we.tl/t-XUWeMnR7Ss" TargetMode="External"/><Relationship Id="rId48" Type="http://schemas.openxmlformats.org/officeDocument/2006/relationships/hyperlink" Target="https://we.tl/t-fQC6ocTXIg" TargetMode="External"/><Relationship Id="rId64" Type="http://schemas.openxmlformats.org/officeDocument/2006/relationships/hyperlink" Target="https://we.tl/t-XpWvPfPzfd" TargetMode="External"/><Relationship Id="rId69" Type="http://schemas.openxmlformats.org/officeDocument/2006/relationships/hyperlink" Target="https://we.tl/t-2Nld0ZOHfV" TargetMode="External"/><Relationship Id="rId113" Type="http://schemas.openxmlformats.org/officeDocument/2006/relationships/hyperlink" Target="https://we.tl/t-2F4BHXKmea" TargetMode="External"/><Relationship Id="rId118" Type="http://schemas.openxmlformats.org/officeDocument/2006/relationships/hyperlink" Target="https://we.tl/t-1Prhd5W5pK" TargetMode="External"/><Relationship Id="rId134" Type="http://schemas.openxmlformats.org/officeDocument/2006/relationships/hyperlink" Target="https://we.tl/t-8AM0OJXQcZ" TargetMode="External"/><Relationship Id="rId139" Type="http://schemas.openxmlformats.org/officeDocument/2006/relationships/hyperlink" Target="https://we.tl/t-5YUyS3CNbq" TargetMode="External"/><Relationship Id="rId80" Type="http://schemas.openxmlformats.org/officeDocument/2006/relationships/hyperlink" Target="https://auto-mow.com/shopold/boundary-cable/impact-safety-cable/38mm-premium-safety-cable/" TargetMode="External"/><Relationship Id="rId85" Type="http://schemas.openxmlformats.org/officeDocument/2006/relationships/hyperlink" Target="https://auto-mow.com/shopold/boundary-cable/impact-safety-cable/38mm-premium-safety-cable/" TargetMode="External"/><Relationship Id="rId150" Type="http://schemas.openxmlformats.org/officeDocument/2006/relationships/hyperlink" Target="https://we.tl/t-4ybG1uyeoD" TargetMode="External"/><Relationship Id="rId155" Type="http://schemas.openxmlformats.org/officeDocument/2006/relationships/hyperlink" Target="https://we.tl/t-XUWeMnR7Ss" TargetMode="External"/><Relationship Id="rId12" Type="http://schemas.openxmlformats.org/officeDocument/2006/relationships/hyperlink" Target="https://we.tl/t-kILhkLQ4uu" TargetMode="External"/><Relationship Id="rId17" Type="http://schemas.openxmlformats.org/officeDocument/2006/relationships/hyperlink" Target="https://auto-mow.com/shopold/boundary-cable/standard-cable/standard-cable-34mm/" TargetMode="External"/><Relationship Id="rId33" Type="http://schemas.openxmlformats.org/officeDocument/2006/relationships/hyperlink" Target="https://auto-mow.com/shopold/boundary-cable/standard-cable/standard-cable-34mm/" TargetMode="External"/><Relationship Id="rId38" Type="http://schemas.openxmlformats.org/officeDocument/2006/relationships/hyperlink" Target="https://auto-mow.com/shopold/boundary-cable/impact-safety-cable/38mm-premium-safety-cable/" TargetMode="External"/><Relationship Id="rId59" Type="http://schemas.openxmlformats.org/officeDocument/2006/relationships/hyperlink" Target="https://we.tl/t-eUTEEG9RFo" TargetMode="External"/><Relationship Id="rId103" Type="http://schemas.openxmlformats.org/officeDocument/2006/relationships/hyperlink" Target="https://we.tl/t-XAMYzxLP4M" TargetMode="External"/><Relationship Id="rId108" Type="http://schemas.openxmlformats.org/officeDocument/2006/relationships/hyperlink" Target="https://we.tl/t-HxbnL7YcD1" TargetMode="External"/><Relationship Id="rId124" Type="http://schemas.openxmlformats.org/officeDocument/2006/relationships/hyperlink" Target="https://we.tl/t-E1r77FznLG" TargetMode="External"/><Relationship Id="rId129" Type="http://schemas.openxmlformats.org/officeDocument/2006/relationships/hyperlink" Target="https://we.tl/t-lpbFSq8bSg" TargetMode="External"/><Relationship Id="rId54" Type="http://schemas.openxmlformats.org/officeDocument/2006/relationships/hyperlink" Target="https://we.tl/t-DEGBKJhjHr" TargetMode="External"/><Relationship Id="rId70" Type="http://schemas.openxmlformats.org/officeDocument/2006/relationships/hyperlink" Target="https://we.tl/t-2Nld0ZOHfV" TargetMode="External"/><Relationship Id="rId75" Type="http://schemas.openxmlformats.org/officeDocument/2006/relationships/hyperlink" Target="https://we.tl/t-TmdgNvmf46" TargetMode="External"/><Relationship Id="rId91" Type="http://schemas.openxmlformats.org/officeDocument/2006/relationships/hyperlink" Target="https://we.tl/t-PsEuZV43tY" TargetMode="External"/><Relationship Id="rId96" Type="http://schemas.openxmlformats.org/officeDocument/2006/relationships/hyperlink" Target="https://we.tl/t-N28kfK3vIC" TargetMode="External"/><Relationship Id="rId140" Type="http://schemas.openxmlformats.org/officeDocument/2006/relationships/hyperlink" Target="https://we.tl/t-5YUyS3CNbq" TargetMode="External"/><Relationship Id="rId145" Type="http://schemas.openxmlformats.org/officeDocument/2006/relationships/hyperlink" Target="https://we.tl/t-PJmkWxPqeM" TargetMode="External"/><Relationship Id="rId161" Type="http://schemas.openxmlformats.org/officeDocument/2006/relationships/hyperlink" Target="https://we.tl/t-XAMYzxLP4M" TargetMode="External"/><Relationship Id="rId166" Type="http://schemas.openxmlformats.org/officeDocument/2006/relationships/hyperlink" Target="https://auto-mow.com/pl/shop/cable/installation-kits/installation-kit-an-all-in-one-solution-for-a-robot-installation/" TargetMode="External"/><Relationship Id="rId1" Type="http://schemas.openxmlformats.org/officeDocument/2006/relationships/hyperlink" Target="https://we.tl/t-kILhkLQ4uu" TargetMode="External"/><Relationship Id="rId6" Type="http://schemas.openxmlformats.org/officeDocument/2006/relationships/hyperlink" Target="https://auto-mow.com/shopold/boundary-cable/standard-cable/2-7mm-standard-boundary-cable/" TargetMode="External"/><Relationship Id="rId15" Type="http://schemas.openxmlformats.org/officeDocument/2006/relationships/hyperlink" Target="https://auto-mow.com/shopold/boundary-cable/standard-cable/standard-cable-34mm/" TargetMode="External"/><Relationship Id="rId23" Type="http://schemas.openxmlformats.org/officeDocument/2006/relationships/hyperlink" Target="https://auto-mow.com/shopold/boundary-cable/standard-cable/standard-cable-34mm/" TargetMode="External"/><Relationship Id="rId28" Type="http://schemas.openxmlformats.org/officeDocument/2006/relationships/hyperlink" Target="https://we.tl/t-q7Zp17ynwf" TargetMode="External"/><Relationship Id="rId36" Type="http://schemas.openxmlformats.org/officeDocument/2006/relationships/hyperlink" Target="https://we.tl/t-q7Zp17ynwf" TargetMode="External"/><Relationship Id="rId49" Type="http://schemas.openxmlformats.org/officeDocument/2006/relationships/hyperlink" Target="https://we.tl/t-5hykWvbN1L" TargetMode="External"/><Relationship Id="rId57" Type="http://schemas.openxmlformats.org/officeDocument/2006/relationships/hyperlink" Target="https://we.tl/t-msCOmCRCyz" TargetMode="External"/><Relationship Id="rId106" Type="http://schemas.openxmlformats.org/officeDocument/2006/relationships/hyperlink" Target="https://we.tl/t-oizNeiSzh6" TargetMode="External"/><Relationship Id="rId114" Type="http://schemas.openxmlformats.org/officeDocument/2006/relationships/hyperlink" Target="https://we.tl/t-2F4BHXKmea" TargetMode="External"/><Relationship Id="rId119" Type="http://schemas.openxmlformats.org/officeDocument/2006/relationships/hyperlink" Target="https://we.tl/t-3gtlSsAVIN" TargetMode="External"/><Relationship Id="rId127" Type="http://schemas.openxmlformats.org/officeDocument/2006/relationships/hyperlink" Target="https://auto-mow.com/shop/others/cable-machines/cable-machine-terra-800/" TargetMode="External"/><Relationship Id="rId10" Type="http://schemas.openxmlformats.org/officeDocument/2006/relationships/hyperlink" Target="https://auto-mow.com/shopold/boundary-cable/standard-cable/2-7mm-standard-boundary-cable/" TargetMode="External"/><Relationship Id="rId31" Type="http://schemas.openxmlformats.org/officeDocument/2006/relationships/hyperlink" Target="https://auto-mow.com/shopold/boundary-cable/standard-cable/standard-cable-34mm/" TargetMode="External"/><Relationship Id="rId44" Type="http://schemas.openxmlformats.org/officeDocument/2006/relationships/hyperlink" Target="https://auto-mow.com/shopold/boundary-cable/impact-safety-cable/38mm-premium-safety-cable/" TargetMode="External"/><Relationship Id="rId52" Type="http://schemas.openxmlformats.org/officeDocument/2006/relationships/hyperlink" Target="https://we.tl/t-7ChxDG02nk" TargetMode="External"/><Relationship Id="rId60" Type="http://schemas.openxmlformats.org/officeDocument/2006/relationships/hyperlink" Target="https://we.tl/t-eUTEEG9RFo" TargetMode="External"/><Relationship Id="rId65" Type="http://schemas.openxmlformats.org/officeDocument/2006/relationships/hyperlink" Target="https://we.tl/t-aPpPGbPhZg" TargetMode="External"/><Relationship Id="rId73" Type="http://schemas.openxmlformats.org/officeDocument/2006/relationships/hyperlink" Target="https://we.tl/t-c2nwA1qfdT" TargetMode="External"/><Relationship Id="rId78" Type="http://schemas.openxmlformats.org/officeDocument/2006/relationships/hyperlink" Target="https://we.tl/t-vj0T2rQwQD" TargetMode="External"/><Relationship Id="rId81" Type="http://schemas.openxmlformats.org/officeDocument/2006/relationships/hyperlink" Target="https://we.tl/t-PxlGfjhwCl" TargetMode="External"/><Relationship Id="rId86" Type="http://schemas.openxmlformats.org/officeDocument/2006/relationships/hyperlink" Target="https://we.tl/t-5dLhK70lUk" TargetMode="External"/><Relationship Id="rId94" Type="http://schemas.openxmlformats.org/officeDocument/2006/relationships/hyperlink" Target="https://we.tl/t-N28kfK3vIC" TargetMode="External"/><Relationship Id="rId99" Type="http://schemas.openxmlformats.org/officeDocument/2006/relationships/hyperlink" Target="https://we.tl/t-cWgknExERW" TargetMode="External"/><Relationship Id="rId101" Type="http://schemas.openxmlformats.org/officeDocument/2006/relationships/hyperlink" Target="https://we.tl/t-XAMYzxLP4M" TargetMode="External"/><Relationship Id="rId122" Type="http://schemas.openxmlformats.org/officeDocument/2006/relationships/hyperlink" Target="https://we.tl/t-tNoqgzZqho" TargetMode="External"/><Relationship Id="rId130" Type="http://schemas.openxmlformats.org/officeDocument/2006/relationships/hyperlink" Target="https://we.tl/t-vs6Gyog1Qu" TargetMode="External"/><Relationship Id="rId135" Type="http://schemas.openxmlformats.org/officeDocument/2006/relationships/hyperlink" Target="https://we.tl/t-p5CRQ6Rvzq" TargetMode="External"/><Relationship Id="rId143" Type="http://schemas.openxmlformats.org/officeDocument/2006/relationships/hyperlink" Target="https://we.tl/t-rOT0EMXb4F" TargetMode="External"/><Relationship Id="rId148" Type="http://schemas.openxmlformats.org/officeDocument/2006/relationships/hyperlink" Target="https://we.tl/t-m4TaPY0n0y" TargetMode="External"/><Relationship Id="rId151" Type="http://schemas.openxmlformats.org/officeDocument/2006/relationships/hyperlink" Target="https://we.tl/t-Uwee2q9v5y" TargetMode="External"/><Relationship Id="rId156" Type="http://schemas.openxmlformats.org/officeDocument/2006/relationships/hyperlink" Target="https://we.tl/t-XUWeMnR7Ss" TargetMode="External"/><Relationship Id="rId164" Type="http://schemas.openxmlformats.org/officeDocument/2006/relationships/hyperlink" Target="https://auto-mow.com/pl/shop/blades/stihl/stihl-imow-evo-premium-blades/" TargetMode="External"/><Relationship Id="rId4" Type="http://schemas.openxmlformats.org/officeDocument/2006/relationships/hyperlink" Target="https://auto-mow.com/shopold/boundary-cable/standard-cable/2-7mm-standard-boundary-cable/" TargetMode="External"/><Relationship Id="rId9" Type="http://schemas.openxmlformats.org/officeDocument/2006/relationships/hyperlink" Target="https://we.tl/t-kILhkLQ4uu" TargetMode="External"/><Relationship Id="rId13" Type="http://schemas.openxmlformats.org/officeDocument/2006/relationships/hyperlink" Target="https://auto-mow.com/shopold/boundary-cable/standard-cable/2-7mm-standard-boundary-cable/" TargetMode="External"/><Relationship Id="rId18" Type="http://schemas.openxmlformats.org/officeDocument/2006/relationships/hyperlink" Target="https://we.tl/t-q7Zp17ynwf" TargetMode="External"/><Relationship Id="rId39" Type="http://schemas.openxmlformats.org/officeDocument/2006/relationships/hyperlink" Target="https://we.tl/t-XUWeMnR7Ss" TargetMode="External"/><Relationship Id="rId109" Type="http://schemas.openxmlformats.org/officeDocument/2006/relationships/hyperlink" Target="https://we.tl/t-HxbnL7YcD1" TargetMode="External"/><Relationship Id="rId34" Type="http://schemas.openxmlformats.org/officeDocument/2006/relationships/hyperlink" Target="https://we.tl/t-q7Zp17ynwf" TargetMode="External"/><Relationship Id="rId50" Type="http://schemas.openxmlformats.org/officeDocument/2006/relationships/hyperlink" Target="https://we.tl/t-PrQMMRJEmg" TargetMode="External"/><Relationship Id="rId55" Type="http://schemas.openxmlformats.org/officeDocument/2006/relationships/hyperlink" Target="https://we.tl/t-b93G0uEDCZ" TargetMode="External"/><Relationship Id="rId76" Type="http://schemas.openxmlformats.org/officeDocument/2006/relationships/hyperlink" Target="https://auto-mow.com/shopold/accessories/blades/bosch-indigo-blades-9-pcs/" TargetMode="External"/><Relationship Id="rId97" Type="http://schemas.openxmlformats.org/officeDocument/2006/relationships/hyperlink" Target="https://we.tl/t-TaLSvW7PfM" TargetMode="External"/><Relationship Id="rId104" Type="http://schemas.openxmlformats.org/officeDocument/2006/relationships/hyperlink" Target="https://we.tl/t-oizNeiSzh6" TargetMode="External"/><Relationship Id="rId120" Type="http://schemas.openxmlformats.org/officeDocument/2006/relationships/hyperlink" Target="https://auto-mow.com/shopold/other/wire-stripper-5in1/" TargetMode="External"/><Relationship Id="rId125" Type="http://schemas.openxmlformats.org/officeDocument/2006/relationships/hyperlink" Target="https://we.tl/t-H3kb1YypyH" TargetMode="External"/><Relationship Id="rId141" Type="http://schemas.openxmlformats.org/officeDocument/2006/relationships/hyperlink" Target="https://we.tl/t-1PQ5wZxDUq" TargetMode="External"/><Relationship Id="rId146" Type="http://schemas.openxmlformats.org/officeDocument/2006/relationships/hyperlink" Target="https://we.tl/t-PJmkWxPqeM" TargetMode="External"/><Relationship Id="rId167" Type="http://schemas.openxmlformats.org/officeDocument/2006/relationships/hyperlink" Target="https://auto-mow.com/pl/shop/cable/installation-kits/installation-kit-an-all-in-one-solution-for-a-robot-installation/" TargetMode="External"/><Relationship Id="rId7" Type="http://schemas.openxmlformats.org/officeDocument/2006/relationships/hyperlink" Target="https://we.tl/t-kILhkLQ4uu" TargetMode="External"/><Relationship Id="rId71" Type="http://schemas.openxmlformats.org/officeDocument/2006/relationships/hyperlink" Target="https://we.tl/t-2Nld0ZOHfV" TargetMode="External"/><Relationship Id="rId92" Type="http://schemas.openxmlformats.org/officeDocument/2006/relationships/hyperlink" Target="https://auto-mow.com/shopold/accessories/blades/long-life-safety-blades-original/" TargetMode="External"/><Relationship Id="rId162" Type="http://schemas.openxmlformats.org/officeDocument/2006/relationships/hyperlink" Target="https://auto-mow.com/shop/cable/standard-cable/2-7-mm-standard-boundary-cable/" TargetMode="External"/><Relationship Id="rId2" Type="http://schemas.openxmlformats.org/officeDocument/2006/relationships/hyperlink" Target="https://auto-mow.com/shopold/boundary-cable/standard-cable/2-7mm-standard-boundary-cable/" TargetMode="External"/><Relationship Id="rId29" Type="http://schemas.openxmlformats.org/officeDocument/2006/relationships/hyperlink" Target="https://auto-mow.com/shopold/boundary-cable/standard-cable/orange-cable-34mm/" TargetMode="External"/><Relationship Id="rId24" Type="http://schemas.openxmlformats.org/officeDocument/2006/relationships/hyperlink" Target="https://we.tl/t-q7Zp17ynwf" TargetMode="External"/><Relationship Id="rId40" Type="http://schemas.openxmlformats.org/officeDocument/2006/relationships/hyperlink" Target="https://auto-mow.com/shopold/boundary-cable/impact-safety-cable/38mm-premium-safety-cable/" TargetMode="External"/><Relationship Id="rId45" Type="http://schemas.openxmlformats.org/officeDocument/2006/relationships/hyperlink" Target="https://we.tl/t-XUWeMnR7Ss" TargetMode="External"/><Relationship Id="rId66" Type="http://schemas.openxmlformats.org/officeDocument/2006/relationships/hyperlink" Target="https://we.tl/t-aPpPGbPhZg" TargetMode="External"/><Relationship Id="rId87" Type="http://schemas.openxmlformats.org/officeDocument/2006/relationships/hyperlink" Target="https://we.tl/t-5dLhK70lUk" TargetMode="External"/><Relationship Id="rId110" Type="http://schemas.openxmlformats.org/officeDocument/2006/relationships/hyperlink" Target="https://we.tl/t-HxbnL7YcD1" TargetMode="External"/><Relationship Id="rId115" Type="http://schemas.openxmlformats.org/officeDocument/2006/relationships/hyperlink" Target="https://auto-mow.com/shopold/boundary-cable/repair-kit/" TargetMode="External"/><Relationship Id="rId131" Type="http://schemas.openxmlformats.org/officeDocument/2006/relationships/hyperlink" Target="https://we.tl/t-xzwSXLEiOZ" TargetMode="External"/><Relationship Id="rId136" Type="http://schemas.openxmlformats.org/officeDocument/2006/relationships/hyperlink" Target="https://we.tl/t-1hjF4AGBql" TargetMode="External"/><Relationship Id="rId157" Type="http://schemas.openxmlformats.org/officeDocument/2006/relationships/hyperlink" Target="https://auto-mow.com/shopold/boundary-cable/impact-safety-cable/38mm-premium-safety-cable/" TargetMode="External"/><Relationship Id="rId61" Type="http://schemas.openxmlformats.org/officeDocument/2006/relationships/hyperlink" Target="https://we.tl/t-eUTEEG9RFo" TargetMode="External"/><Relationship Id="rId82" Type="http://schemas.openxmlformats.org/officeDocument/2006/relationships/hyperlink" Target="https://we.tl/t-PxlGfjhwCl" TargetMode="External"/><Relationship Id="rId152" Type="http://schemas.openxmlformats.org/officeDocument/2006/relationships/hyperlink" Target="https://we.tl/t-qibTtaFbez" TargetMode="External"/><Relationship Id="rId19" Type="http://schemas.openxmlformats.org/officeDocument/2006/relationships/hyperlink" Target="https://auto-mow.com/shopold/boundary-cable/standard-cable/standard-cable-34mm/" TargetMode="External"/><Relationship Id="rId14" Type="http://schemas.openxmlformats.org/officeDocument/2006/relationships/hyperlink" Target="https://we.tl/t-q7Zp17ynwf" TargetMode="External"/><Relationship Id="rId30" Type="http://schemas.openxmlformats.org/officeDocument/2006/relationships/hyperlink" Target="https://we.tl/t-q7Zp17ynwf" TargetMode="External"/><Relationship Id="rId35" Type="http://schemas.openxmlformats.org/officeDocument/2006/relationships/hyperlink" Target="https://auto-mow.com/shopold/boundary-cable/standard-cable/34mm-black-standard-cable-copy/" TargetMode="External"/><Relationship Id="rId56" Type="http://schemas.openxmlformats.org/officeDocument/2006/relationships/hyperlink" Target="https://we.tl/t-pA1RnmDXuF" TargetMode="External"/><Relationship Id="rId77" Type="http://schemas.openxmlformats.org/officeDocument/2006/relationships/hyperlink" Target="https://we.tl/t-vj0T2rQwQD" TargetMode="External"/><Relationship Id="rId100" Type="http://schemas.openxmlformats.org/officeDocument/2006/relationships/hyperlink" Target="https://we.tl/t-XAMYzxLP4M" TargetMode="External"/><Relationship Id="rId105" Type="http://schemas.openxmlformats.org/officeDocument/2006/relationships/hyperlink" Target="https://auto-mow.com/shopold/accessories/blades/worx-blades-12-pcs-all-models/" TargetMode="External"/><Relationship Id="rId126" Type="http://schemas.openxmlformats.org/officeDocument/2006/relationships/hyperlink" Target="https://we.tl/t-G1Z9IbJ4R9" TargetMode="External"/><Relationship Id="rId147" Type="http://schemas.openxmlformats.org/officeDocument/2006/relationships/hyperlink" Target="https://we.tl/t-m4TaPY0n0y" TargetMode="External"/><Relationship Id="rId168" Type="http://schemas.openxmlformats.org/officeDocument/2006/relationships/hyperlink" Target="https://auto-mow.com/shopold/boundary-cable/repair-kit/" TargetMode="External"/><Relationship Id="rId8" Type="http://schemas.openxmlformats.org/officeDocument/2006/relationships/hyperlink" Target="https://auto-mow.com/shopold/boundary-cable/standard-cable/2-7mm-standard-boundary-cable/" TargetMode="External"/><Relationship Id="rId51" Type="http://schemas.openxmlformats.org/officeDocument/2006/relationships/hyperlink" Target="https://we.tl/t-PrQMMRJEmg" TargetMode="External"/><Relationship Id="rId72" Type="http://schemas.openxmlformats.org/officeDocument/2006/relationships/hyperlink" Target="https://we.tl/t-2Nld0ZOHfV" TargetMode="External"/><Relationship Id="rId93" Type="http://schemas.openxmlformats.org/officeDocument/2006/relationships/hyperlink" Target="https://auto-mow.com/shopold/boundary-cable/impact-safety-cable/38mm-premium-safety-cable/" TargetMode="External"/><Relationship Id="rId98" Type="http://schemas.openxmlformats.org/officeDocument/2006/relationships/hyperlink" Target="https://auto-mow.com/shopold/boundary-cable/impact-safety-cable/38mm-premium-safety-cable/" TargetMode="External"/><Relationship Id="rId121" Type="http://schemas.openxmlformats.org/officeDocument/2006/relationships/hyperlink" Target="https://we.tl/t-hue4NWzkuM" TargetMode="External"/><Relationship Id="rId142" Type="http://schemas.openxmlformats.org/officeDocument/2006/relationships/hyperlink" Target="https://we.tl/t-1PQ5wZxDUq" TargetMode="External"/><Relationship Id="rId163" Type="http://schemas.openxmlformats.org/officeDocument/2006/relationships/hyperlink" Target="https://auto-mow.com/pl/shop/blades/stihl/stihl-imow-evo-premium-blades/" TargetMode="External"/><Relationship Id="rId3" Type="http://schemas.openxmlformats.org/officeDocument/2006/relationships/hyperlink" Target="https://we.tl/t-kILhkLQ4uu" TargetMode="External"/><Relationship Id="rId25" Type="http://schemas.openxmlformats.org/officeDocument/2006/relationships/hyperlink" Target="https://auto-mow.com/shopold/boundary-cable/standard-cable/standard-cable-34mm/" TargetMode="External"/><Relationship Id="rId46" Type="http://schemas.openxmlformats.org/officeDocument/2006/relationships/hyperlink" Target="https://auto-mow.com/shopold/boundary-cable/impact-safety-cable/38mm-premium-safety-cable/" TargetMode="External"/><Relationship Id="rId67" Type="http://schemas.openxmlformats.org/officeDocument/2006/relationships/hyperlink" Target="https://we.tl/t-2Nld0ZOHfV" TargetMode="External"/><Relationship Id="rId116" Type="http://schemas.openxmlformats.org/officeDocument/2006/relationships/hyperlink" Target="https://we.tl/t-E1r77FznLG" TargetMode="External"/><Relationship Id="rId137" Type="http://schemas.openxmlformats.org/officeDocument/2006/relationships/hyperlink" Target="https://we.tl/t-39SUijjqjr" TargetMode="External"/><Relationship Id="rId158" Type="http://schemas.openxmlformats.org/officeDocument/2006/relationships/hyperlink" Target="https://auto-mow.com/shopold/boundary-cable/impact-safety-cable/38mm-premium-safety-cable/" TargetMode="External"/><Relationship Id="rId20" Type="http://schemas.openxmlformats.org/officeDocument/2006/relationships/hyperlink" Target="https://we.tl/t-q7Zp17ynwf" TargetMode="External"/><Relationship Id="rId41" Type="http://schemas.openxmlformats.org/officeDocument/2006/relationships/hyperlink" Target="https://we.tl/t-XUWeMnR7Ss" TargetMode="External"/><Relationship Id="rId62" Type="http://schemas.openxmlformats.org/officeDocument/2006/relationships/hyperlink" Target="https://we.tl/t-nmoyHWJOPu" TargetMode="External"/><Relationship Id="rId83" Type="http://schemas.openxmlformats.org/officeDocument/2006/relationships/hyperlink" Target="https://auto-mow.com/shopold/boundary-cable/impact-safety-cable/38mm-premium-safety-cable/" TargetMode="External"/><Relationship Id="rId88" Type="http://schemas.openxmlformats.org/officeDocument/2006/relationships/hyperlink" Target="https://we.tl/t-5dLhK70lUk" TargetMode="External"/><Relationship Id="rId111" Type="http://schemas.openxmlformats.org/officeDocument/2006/relationships/hyperlink" Target="https://we.tl/t-HxbnL7YcD1" TargetMode="External"/><Relationship Id="rId132" Type="http://schemas.openxmlformats.org/officeDocument/2006/relationships/hyperlink" Target="https://we.tl/t-JokhFR3Vqe" TargetMode="External"/><Relationship Id="rId153" Type="http://schemas.openxmlformats.org/officeDocument/2006/relationships/hyperlink" Target="https://we.tl/t-ryYgnrjO2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G154"/>
  <sheetViews>
    <sheetView tabSelected="1" topLeftCell="E143" workbookViewId="0">
      <selection activeCell="G121" sqref="G121"/>
    </sheetView>
  </sheetViews>
  <sheetFormatPr defaultRowHeight="39.75" customHeight="1" x14ac:dyDescent="0.3"/>
  <cols>
    <col min="1" max="1" width="14" bestFit="1" customWidth="1"/>
    <col min="2" max="2" width="59.109375" customWidth="1"/>
    <col min="3" max="3" width="12.33203125" bestFit="1" customWidth="1"/>
    <col min="4" max="4" width="28.88671875" customWidth="1"/>
    <col min="5" max="5" width="34.109375" customWidth="1"/>
    <col min="6" max="6" width="34.44140625" customWidth="1"/>
    <col min="7" max="11" width="28.88671875" style="152" customWidth="1"/>
    <col min="12" max="12" width="132.5546875" customWidth="1"/>
    <col min="13" max="13" width="18.109375" customWidth="1"/>
    <col min="14" max="14" width="10.88671875" customWidth="1"/>
    <col min="15" max="15" width="25.5546875" customWidth="1"/>
    <col min="16" max="16" width="20.44140625" customWidth="1"/>
    <col min="17" max="17" width="25" customWidth="1"/>
    <col min="18" max="18" width="37" customWidth="1"/>
    <col min="19" max="19" width="24" style="130" customWidth="1"/>
    <col min="20" max="20" width="47.33203125" customWidth="1"/>
    <col min="21" max="21" width="25.5546875" customWidth="1"/>
    <col min="22" max="22" width="85.5546875" customWidth="1"/>
    <col min="23" max="23" width="114" customWidth="1"/>
    <col min="24" max="24" width="58.33203125" style="130" customWidth="1"/>
    <col min="25" max="25" width="22.109375" customWidth="1"/>
    <col min="26" max="59" width="1.5546875" bestFit="1" customWidth="1"/>
  </cols>
  <sheetData>
    <row r="1" spans="1:59" ht="39.75" customHeight="1" x14ac:dyDescent="0.4">
      <c r="A1" s="114" t="s">
        <v>0</v>
      </c>
      <c r="B1" s="115" t="s">
        <v>1</v>
      </c>
      <c r="C1" s="115" t="s">
        <v>2</v>
      </c>
      <c r="D1" s="115" t="s">
        <v>3</v>
      </c>
      <c r="E1" s="115" t="s">
        <v>4</v>
      </c>
      <c r="F1" s="115" t="s">
        <v>5</v>
      </c>
      <c r="G1" s="138" t="s">
        <v>6</v>
      </c>
      <c r="H1" s="138" t="s">
        <v>7</v>
      </c>
      <c r="I1" s="138" t="s">
        <v>8</v>
      </c>
      <c r="J1" s="138" t="s">
        <v>9</v>
      </c>
      <c r="K1" s="138" t="s">
        <v>10</v>
      </c>
      <c r="L1" s="115" t="s">
        <v>11</v>
      </c>
      <c r="M1" s="116" t="s">
        <v>12</v>
      </c>
      <c r="N1" s="116" t="s">
        <v>13</v>
      </c>
      <c r="O1" s="116" t="s">
        <v>14</v>
      </c>
      <c r="P1" s="116" t="s">
        <v>15</v>
      </c>
      <c r="Q1" s="115" t="s">
        <v>16</v>
      </c>
      <c r="R1" s="115" t="s">
        <v>17</v>
      </c>
      <c r="S1" s="131" t="s">
        <v>18</v>
      </c>
      <c r="T1" s="115" t="s">
        <v>19</v>
      </c>
      <c r="U1" s="115" t="s">
        <v>20</v>
      </c>
      <c r="V1" s="115" t="s">
        <v>21</v>
      </c>
      <c r="W1" s="115" t="s">
        <v>22</v>
      </c>
      <c r="X1" s="118" t="s">
        <v>23</v>
      </c>
      <c r="Y1" s="117" t="s">
        <v>965</v>
      </c>
      <c r="Z1" s="117" t="s">
        <v>24</v>
      </c>
      <c r="AA1" s="117" t="s">
        <v>24</v>
      </c>
      <c r="AB1" s="117" t="s">
        <v>24</v>
      </c>
      <c r="AC1" s="117" t="s">
        <v>24</v>
      </c>
      <c r="AD1" s="117" t="s">
        <v>24</v>
      </c>
      <c r="AE1" s="117" t="s">
        <v>24</v>
      </c>
      <c r="AF1" s="117" t="s">
        <v>24</v>
      </c>
      <c r="AG1" s="117" t="s">
        <v>24</v>
      </c>
      <c r="AH1" s="117" t="s">
        <v>24</v>
      </c>
      <c r="AI1" s="117" t="s">
        <v>24</v>
      </c>
      <c r="AJ1" s="117" t="s">
        <v>24</v>
      </c>
      <c r="AK1" s="117" t="s">
        <v>24</v>
      </c>
      <c r="AL1" s="117" t="s">
        <v>24</v>
      </c>
      <c r="AM1" s="117" t="s">
        <v>24</v>
      </c>
      <c r="AN1" s="117" t="s">
        <v>24</v>
      </c>
      <c r="AO1" s="117" t="s">
        <v>24</v>
      </c>
      <c r="AP1" s="117" t="s">
        <v>24</v>
      </c>
      <c r="AQ1" s="117" t="s">
        <v>24</v>
      </c>
      <c r="AR1" s="117" t="s">
        <v>24</v>
      </c>
      <c r="AS1" s="117" t="s">
        <v>24</v>
      </c>
      <c r="AT1" s="117" t="s">
        <v>24</v>
      </c>
      <c r="AU1" s="117" t="s">
        <v>24</v>
      </c>
      <c r="AV1" s="117" t="s">
        <v>24</v>
      </c>
      <c r="AW1" s="117" t="s">
        <v>24</v>
      </c>
      <c r="AX1" s="117" t="s">
        <v>24</v>
      </c>
      <c r="AY1" s="117" t="s">
        <v>24</v>
      </c>
      <c r="AZ1" s="117" t="s">
        <v>24</v>
      </c>
      <c r="BA1" s="117" t="s">
        <v>24</v>
      </c>
      <c r="BB1" s="117" t="s">
        <v>24</v>
      </c>
      <c r="BC1" s="117" t="s">
        <v>24</v>
      </c>
      <c r="BD1" s="117" t="s">
        <v>24</v>
      </c>
      <c r="BE1" s="117" t="s">
        <v>24</v>
      </c>
      <c r="BF1" s="117" t="s">
        <v>24</v>
      </c>
      <c r="BG1" s="117" t="s">
        <v>24</v>
      </c>
    </row>
    <row r="2" spans="1:59" ht="39.75" customHeight="1" x14ac:dyDescent="0.4">
      <c r="A2" s="1">
        <v>15293556</v>
      </c>
      <c r="B2" s="2" t="s">
        <v>25</v>
      </c>
      <c r="C2" s="3" t="s">
        <v>932</v>
      </c>
      <c r="D2" s="4" t="s">
        <v>26</v>
      </c>
      <c r="E2" s="155">
        <f>(G2*4.3)</f>
        <v>387</v>
      </c>
      <c r="F2" s="155">
        <f t="shared" ref="F2:F66" si="0">(E2*1.23)</f>
        <v>476.01</v>
      </c>
      <c r="G2" s="139">
        <f>J2/0.75</f>
        <v>90</v>
      </c>
      <c r="H2" s="155">
        <f>(J2*4.3)</f>
        <v>290.25</v>
      </c>
      <c r="I2" s="155">
        <f>H2*1.23</f>
        <v>357.00749999999999</v>
      </c>
      <c r="J2" s="139">
        <v>67.5</v>
      </c>
      <c r="K2" s="139">
        <v>57.5</v>
      </c>
      <c r="L2" s="4" t="s">
        <v>27</v>
      </c>
      <c r="M2" s="5" t="s">
        <v>28</v>
      </c>
      <c r="N2" s="5">
        <v>4.8</v>
      </c>
      <c r="O2" s="6" t="s">
        <v>29</v>
      </c>
      <c r="P2" s="5" t="s">
        <v>28</v>
      </c>
      <c r="Q2" s="5" t="s">
        <v>30</v>
      </c>
      <c r="R2" s="5" t="s">
        <v>31</v>
      </c>
      <c r="S2" s="129">
        <v>8544492000</v>
      </c>
      <c r="T2" s="8" t="s">
        <v>32</v>
      </c>
      <c r="U2" s="9" t="s">
        <v>24</v>
      </c>
      <c r="V2" s="8" t="s">
        <v>33</v>
      </c>
      <c r="W2" s="10" t="s">
        <v>34</v>
      </c>
      <c r="X2" s="119">
        <v>5744003720903</v>
      </c>
      <c r="Y2" t="s">
        <v>966</v>
      </c>
    </row>
    <row r="3" spans="1:59" ht="39.75" customHeight="1" x14ac:dyDescent="0.4">
      <c r="A3" s="1">
        <v>15293566</v>
      </c>
      <c r="B3" s="2" t="s">
        <v>35</v>
      </c>
      <c r="C3" s="3" t="s">
        <v>933</v>
      </c>
      <c r="D3" s="4" t="s">
        <v>26</v>
      </c>
      <c r="E3" s="155">
        <f>(G3*4.3)</f>
        <v>774</v>
      </c>
      <c r="F3" s="155">
        <f t="shared" si="0"/>
        <v>952.02</v>
      </c>
      <c r="G3" s="139">
        <f t="shared" ref="G3:G8" si="1">J3/0.75</f>
        <v>180</v>
      </c>
      <c r="H3" s="155">
        <f t="shared" ref="H3:H66" si="2">(J3*4.3)</f>
        <v>580.5</v>
      </c>
      <c r="I3" s="155">
        <f t="shared" ref="I3:I66" si="3">H3*1.23</f>
        <v>714.01499999999999</v>
      </c>
      <c r="J3" s="139">
        <v>135</v>
      </c>
      <c r="K3" s="139">
        <v>115</v>
      </c>
      <c r="L3" s="4" t="s">
        <v>27</v>
      </c>
      <c r="M3" s="6" t="s">
        <v>36</v>
      </c>
      <c r="N3" s="5">
        <v>9.1999999999999993</v>
      </c>
      <c r="O3" s="6" t="s">
        <v>37</v>
      </c>
      <c r="P3" s="6" t="s">
        <v>36</v>
      </c>
      <c r="Q3" s="5" t="s">
        <v>30</v>
      </c>
      <c r="R3" s="5" t="s">
        <v>31</v>
      </c>
      <c r="S3" s="129">
        <v>8544492000</v>
      </c>
      <c r="T3" s="8" t="s">
        <v>32</v>
      </c>
      <c r="U3" s="9" t="s">
        <v>24</v>
      </c>
      <c r="V3" s="8" t="s">
        <v>33</v>
      </c>
      <c r="W3" s="10" t="s">
        <v>34</v>
      </c>
      <c r="X3" s="119">
        <v>5744003720927</v>
      </c>
      <c r="Y3" t="s">
        <v>966</v>
      </c>
    </row>
    <row r="4" spans="1:59" ht="39.75" customHeight="1" x14ac:dyDescent="0.4">
      <c r="A4" s="1">
        <v>15223548</v>
      </c>
      <c r="B4" s="2" t="s">
        <v>38</v>
      </c>
      <c r="C4" s="3" t="s">
        <v>934</v>
      </c>
      <c r="D4" s="4" t="s">
        <v>26</v>
      </c>
      <c r="E4" s="155">
        <f t="shared" ref="E4:E67" si="4">(G4*4.3)</f>
        <v>88.866666666666674</v>
      </c>
      <c r="F4" s="155">
        <f t="shared" si="0"/>
        <v>109.30600000000001</v>
      </c>
      <c r="G4" s="139">
        <f t="shared" si="1"/>
        <v>20.666666666666668</v>
      </c>
      <c r="H4" s="155">
        <f t="shared" si="2"/>
        <v>66.649999999999991</v>
      </c>
      <c r="I4" s="155">
        <f t="shared" si="3"/>
        <v>81.979499999999987</v>
      </c>
      <c r="J4" s="139">
        <v>15.5</v>
      </c>
      <c r="K4" s="139">
        <v>12.5</v>
      </c>
      <c r="L4" s="4" t="s">
        <v>27</v>
      </c>
      <c r="M4" s="5" t="s">
        <v>39</v>
      </c>
      <c r="N4" s="5" t="s">
        <v>40</v>
      </c>
      <c r="O4" s="5" t="s">
        <v>41</v>
      </c>
      <c r="P4" s="5" t="s">
        <v>41</v>
      </c>
      <c r="Q4" s="5" t="s">
        <v>42</v>
      </c>
      <c r="R4" s="5" t="s">
        <v>31</v>
      </c>
      <c r="S4" s="129">
        <v>8544492000</v>
      </c>
      <c r="T4" s="8" t="s">
        <v>32</v>
      </c>
      <c r="U4" s="9" t="s">
        <v>24</v>
      </c>
      <c r="V4" s="8" t="s">
        <v>33</v>
      </c>
      <c r="W4" s="10" t="s">
        <v>34</v>
      </c>
      <c r="X4" s="119">
        <v>5744003721429</v>
      </c>
      <c r="Y4" t="s">
        <v>966</v>
      </c>
    </row>
    <row r="5" spans="1:59" ht="39.75" customHeight="1" x14ac:dyDescent="0.4">
      <c r="A5" s="1">
        <v>15293549</v>
      </c>
      <c r="B5" s="2" t="s">
        <v>43</v>
      </c>
      <c r="C5" s="3" t="s">
        <v>935</v>
      </c>
      <c r="D5" s="4" t="s">
        <v>26</v>
      </c>
      <c r="E5" s="155">
        <f t="shared" si="4"/>
        <v>117.53333333333332</v>
      </c>
      <c r="F5" s="155">
        <f t="shared" si="0"/>
        <v>144.56599999999997</v>
      </c>
      <c r="G5" s="139">
        <f t="shared" si="1"/>
        <v>27.333333333333332</v>
      </c>
      <c r="H5" s="155">
        <f t="shared" si="2"/>
        <v>88.149999999999991</v>
      </c>
      <c r="I5" s="155">
        <f t="shared" si="3"/>
        <v>108.42449999999999</v>
      </c>
      <c r="J5" s="139">
        <v>20.5</v>
      </c>
      <c r="K5" s="139">
        <v>17.5</v>
      </c>
      <c r="L5" s="4" t="s">
        <v>27</v>
      </c>
      <c r="M5" s="5" t="s">
        <v>44</v>
      </c>
      <c r="N5" s="5">
        <v>1.8</v>
      </c>
      <c r="O5" s="5" t="s">
        <v>45</v>
      </c>
      <c r="P5" s="5" t="s">
        <v>46</v>
      </c>
      <c r="Q5" s="5" t="s">
        <v>47</v>
      </c>
      <c r="R5" s="5" t="s">
        <v>31</v>
      </c>
      <c r="S5" s="129">
        <v>8544492000</v>
      </c>
      <c r="T5" s="8" t="s">
        <v>32</v>
      </c>
      <c r="U5" s="9" t="s">
        <v>24</v>
      </c>
      <c r="V5" s="8" t="s">
        <v>33</v>
      </c>
      <c r="W5" s="10" t="s">
        <v>34</v>
      </c>
      <c r="X5" s="119">
        <v>5744003720880</v>
      </c>
      <c r="Y5" t="s">
        <v>966</v>
      </c>
    </row>
    <row r="6" spans="1:59" ht="39.75" customHeight="1" x14ac:dyDescent="0.4">
      <c r="A6" s="1">
        <v>15293551</v>
      </c>
      <c r="B6" s="2" t="s">
        <v>48</v>
      </c>
      <c r="C6" s="3" t="s">
        <v>936</v>
      </c>
      <c r="D6" s="4" t="s">
        <v>26</v>
      </c>
      <c r="E6" s="155">
        <f t="shared" si="4"/>
        <v>194.93333333333334</v>
      </c>
      <c r="F6" s="155">
        <f t="shared" si="0"/>
        <v>239.768</v>
      </c>
      <c r="G6" s="139">
        <f t="shared" si="1"/>
        <v>45.333333333333336</v>
      </c>
      <c r="H6" s="155">
        <f t="shared" si="2"/>
        <v>146.19999999999999</v>
      </c>
      <c r="I6" s="155">
        <f t="shared" si="3"/>
        <v>179.82599999999999</v>
      </c>
      <c r="J6" s="139">
        <v>34</v>
      </c>
      <c r="K6" s="139">
        <v>29</v>
      </c>
      <c r="L6" s="4" t="s">
        <v>27</v>
      </c>
      <c r="M6" s="5" t="s">
        <v>49</v>
      </c>
      <c r="N6" s="5">
        <v>2.7</v>
      </c>
      <c r="O6" s="5" t="s">
        <v>45</v>
      </c>
      <c r="P6" s="5" t="s">
        <v>50</v>
      </c>
      <c r="Q6" s="5" t="s">
        <v>47</v>
      </c>
      <c r="R6" s="5" t="s">
        <v>31</v>
      </c>
      <c r="S6" s="129">
        <v>8544492000</v>
      </c>
      <c r="T6" s="8" t="s">
        <v>32</v>
      </c>
      <c r="U6" s="9" t="s">
        <v>24</v>
      </c>
      <c r="V6" s="8" t="s">
        <v>33</v>
      </c>
      <c r="W6" s="10" t="s">
        <v>34</v>
      </c>
      <c r="X6" s="119">
        <v>5744003720897</v>
      </c>
      <c r="Y6" t="s">
        <v>966</v>
      </c>
    </row>
    <row r="7" spans="1:59" ht="39.75" customHeight="1" x14ac:dyDescent="0.4">
      <c r="A7" s="1">
        <v>15223547</v>
      </c>
      <c r="B7" s="2" t="s">
        <v>51</v>
      </c>
      <c r="C7" s="3" t="s">
        <v>937</v>
      </c>
      <c r="D7" s="4" t="s">
        <v>26</v>
      </c>
      <c r="E7" s="155">
        <f t="shared" si="4"/>
        <v>54.466666666666661</v>
      </c>
      <c r="F7" s="155">
        <f t="shared" si="0"/>
        <v>66.993999999999986</v>
      </c>
      <c r="G7" s="139">
        <f t="shared" si="1"/>
        <v>12.666666666666666</v>
      </c>
      <c r="H7" s="155">
        <f t="shared" si="2"/>
        <v>40.85</v>
      </c>
      <c r="I7" s="155">
        <f t="shared" si="3"/>
        <v>50.2455</v>
      </c>
      <c r="J7" s="139">
        <v>9.5</v>
      </c>
      <c r="K7" s="139">
        <v>7</v>
      </c>
      <c r="L7" s="154" t="s">
        <v>52</v>
      </c>
      <c r="M7" s="5" t="s">
        <v>53</v>
      </c>
      <c r="N7" s="5">
        <v>0.43</v>
      </c>
      <c r="O7" s="5" t="s">
        <v>54</v>
      </c>
      <c r="P7" s="5" t="s">
        <v>54</v>
      </c>
      <c r="Q7" s="5" t="s">
        <v>55</v>
      </c>
      <c r="R7" s="5" t="s">
        <v>31</v>
      </c>
      <c r="S7" s="129">
        <v>8544492000</v>
      </c>
      <c r="T7" s="8" t="s">
        <v>32</v>
      </c>
      <c r="U7" s="9" t="s">
        <v>24</v>
      </c>
      <c r="V7" s="8" t="s">
        <v>33</v>
      </c>
      <c r="W7" s="10" t="s">
        <v>34</v>
      </c>
      <c r="X7" s="119">
        <v>5744003721436</v>
      </c>
      <c r="Y7" t="s">
        <v>966</v>
      </c>
    </row>
    <row r="8" spans="1:59" ht="39.75" customHeight="1" x14ac:dyDescent="0.4">
      <c r="A8" s="1">
        <v>15293562</v>
      </c>
      <c r="B8" s="2" t="s">
        <v>56</v>
      </c>
      <c r="C8" s="3" t="s">
        <v>92</v>
      </c>
      <c r="D8" s="4" t="s">
        <v>26</v>
      </c>
      <c r="E8" s="155">
        <f t="shared" si="4"/>
        <v>688</v>
      </c>
      <c r="F8" s="155">
        <f t="shared" si="0"/>
        <v>846.24</v>
      </c>
      <c r="G8" s="139">
        <f t="shared" si="1"/>
        <v>160</v>
      </c>
      <c r="H8" s="155">
        <f t="shared" si="2"/>
        <v>516</v>
      </c>
      <c r="I8" s="155">
        <f t="shared" si="3"/>
        <v>634.67999999999995</v>
      </c>
      <c r="J8" s="139">
        <v>120</v>
      </c>
      <c r="K8" s="139">
        <v>95</v>
      </c>
      <c r="L8" s="4" t="s">
        <v>27</v>
      </c>
      <c r="M8" s="6" t="s">
        <v>57</v>
      </c>
      <c r="N8" s="5">
        <v>7.3</v>
      </c>
      <c r="O8" s="6" t="s">
        <v>58</v>
      </c>
      <c r="P8" s="6" t="s">
        <v>57</v>
      </c>
      <c r="Q8" s="5" t="s">
        <v>30</v>
      </c>
      <c r="R8" s="5" t="s">
        <v>31</v>
      </c>
      <c r="S8" s="129">
        <v>8544492000</v>
      </c>
      <c r="T8" s="8" t="s">
        <v>32</v>
      </c>
      <c r="U8" s="9" t="s">
        <v>24</v>
      </c>
      <c r="V8" s="8" t="s">
        <v>33</v>
      </c>
      <c r="W8" s="10" t="s">
        <v>34</v>
      </c>
      <c r="X8" s="119">
        <v>5744003720910</v>
      </c>
      <c r="Y8" t="s">
        <v>966</v>
      </c>
    </row>
    <row r="9" spans="1:59" ht="39.75" customHeight="1" x14ac:dyDescent="0.4">
      <c r="A9" s="13">
        <v>10293538</v>
      </c>
      <c r="B9" s="2" t="s">
        <v>59</v>
      </c>
      <c r="C9" s="3" t="s">
        <v>960</v>
      </c>
      <c r="D9" s="4" t="s">
        <v>60</v>
      </c>
      <c r="E9" s="155">
        <f t="shared" si="4"/>
        <v>20.902777777777779</v>
      </c>
      <c r="F9" s="155">
        <f t="shared" si="0"/>
        <v>25.710416666666667</v>
      </c>
      <c r="G9" s="139">
        <f>J9/0.72</f>
        <v>4.8611111111111116</v>
      </c>
      <c r="H9" s="155">
        <f t="shared" si="2"/>
        <v>15.049999999999999</v>
      </c>
      <c r="I9" s="155">
        <f t="shared" si="3"/>
        <v>18.511499999999998</v>
      </c>
      <c r="J9" s="139">
        <v>3.5</v>
      </c>
      <c r="K9" s="139">
        <v>2.5</v>
      </c>
      <c r="L9" s="4" t="s">
        <v>61</v>
      </c>
      <c r="M9" s="14" t="s">
        <v>24</v>
      </c>
      <c r="N9" s="15" t="s">
        <v>24</v>
      </c>
      <c r="O9" s="14" t="s">
        <v>24</v>
      </c>
      <c r="P9" s="14" t="s">
        <v>24</v>
      </c>
      <c r="Q9" s="16" t="s">
        <v>24</v>
      </c>
      <c r="R9" s="5" t="s">
        <v>31</v>
      </c>
      <c r="S9" s="129">
        <v>8544492000</v>
      </c>
      <c r="T9" s="8" t="s">
        <v>62</v>
      </c>
      <c r="U9" s="17" t="s">
        <v>24</v>
      </c>
      <c r="V9" s="8" t="s">
        <v>63</v>
      </c>
      <c r="W9" s="10" t="s">
        <v>64</v>
      </c>
      <c r="X9" s="119">
        <v>5744003721610</v>
      </c>
      <c r="Y9" t="s">
        <v>966</v>
      </c>
    </row>
    <row r="10" spans="1:59" ht="39.75" customHeight="1" x14ac:dyDescent="0.4">
      <c r="A10" s="13">
        <v>10293542</v>
      </c>
      <c r="B10" s="2" t="s">
        <v>65</v>
      </c>
      <c r="C10" s="3" t="s">
        <v>959</v>
      </c>
      <c r="D10" s="4" t="s">
        <v>60</v>
      </c>
      <c r="E10" s="155">
        <f t="shared" si="4"/>
        <v>41.805555555555557</v>
      </c>
      <c r="F10" s="155">
        <f t="shared" si="0"/>
        <v>51.420833333333334</v>
      </c>
      <c r="G10" s="139">
        <f t="shared" ref="G10:G20" si="5">J10/0.72</f>
        <v>9.7222222222222232</v>
      </c>
      <c r="H10" s="155">
        <f t="shared" si="2"/>
        <v>30.099999999999998</v>
      </c>
      <c r="I10" s="155">
        <f t="shared" si="3"/>
        <v>37.022999999999996</v>
      </c>
      <c r="J10" s="139">
        <v>7</v>
      </c>
      <c r="K10" s="139">
        <v>5</v>
      </c>
      <c r="L10" s="4" t="s">
        <v>61</v>
      </c>
      <c r="M10" s="14" t="s">
        <v>24</v>
      </c>
      <c r="N10" s="15" t="s">
        <v>24</v>
      </c>
      <c r="O10" s="14" t="s">
        <v>24</v>
      </c>
      <c r="P10" s="14" t="s">
        <v>24</v>
      </c>
      <c r="Q10" s="16" t="s">
        <v>24</v>
      </c>
      <c r="R10" s="5" t="s">
        <v>31</v>
      </c>
      <c r="S10" s="129">
        <v>8544492000</v>
      </c>
      <c r="T10" s="8" t="s">
        <v>62</v>
      </c>
      <c r="U10" s="17" t="s">
        <v>24</v>
      </c>
      <c r="V10" s="8" t="s">
        <v>63</v>
      </c>
      <c r="W10" s="10" t="s">
        <v>64</v>
      </c>
      <c r="X10" s="119">
        <v>5744003721627</v>
      </c>
      <c r="Y10" t="s">
        <v>966</v>
      </c>
    </row>
    <row r="11" spans="1:59" ht="39.75" customHeight="1" x14ac:dyDescent="0.4">
      <c r="A11" s="13">
        <v>10293548</v>
      </c>
      <c r="B11" s="2" t="s">
        <v>66</v>
      </c>
      <c r="C11" s="3" t="s">
        <v>934</v>
      </c>
      <c r="D11" s="4" t="s">
        <v>60</v>
      </c>
      <c r="E11" s="155">
        <f t="shared" si="4"/>
        <v>101.52777777777777</v>
      </c>
      <c r="F11" s="155">
        <f t="shared" si="0"/>
        <v>124.87916666666666</v>
      </c>
      <c r="G11" s="139">
        <f t="shared" si="5"/>
        <v>23.611111111111111</v>
      </c>
      <c r="H11" s="155">
        <f t="shared" si="2"/>
        <v>73.099999999999994</v>
      </c>
      <c r="I11" s="155">
        <f t="shared" si="3"/>
        <v>89.912999999999997</v>
      </c>
      <c r="J11" s="139">
        <v>17</v>
      </c>
      <c r="K11" s="139">
        <v>13.5</v>
      </c>
      <c r="L11" s="4" t="s">
        <v>61</v>
      </c>
      <c r="M11" s="5" t="s">
        <v>44</v>
      </c>
      <c r="N11" s="5">
        <v>1.5</v>
      </c>
      <c r="O11" s="5" t="s">
        <v>67</v>
      </c>
      <c r="P11" s="5" t="s">
        <v>46</v>
      </c>
      <c r="Q11" s="18" t="s">
        <v>47</v>
      </c>
      <c r="R11" s="5" t="s">
        <v>31</v>
      </c>
      <c r="S11" s="129">
        <v>8544492000</v>
      </c>
      <c r="T11" s="8" t="s">
        <v>62</v>
      </c>
      <c r="U11" s="17" t="s">
        <v>24</v>
      </c>
      <c r="V11" s="8" t="s">
        <v>63</v>
      </c>
      <c r="W11" s="10" t="s">
        <v>64</v>
      </c>
      <c r="X11" s="119">
        <v>5744003720798</v>
      </c>
      <c r="Y11" t="s">
        <v>966</v>
      </c>
    </row>
    <row r="12" spans="1:59" ht="39.75" customHeight="1" x14ac:dyDescent="0.4">
      <c r="A12" s="19">
        <v>10293549</v>
      </c>
      <c r="B12" s="2" t="s">
        <v>68</v>
      </c>
      <c r="C12" s="3" t="s">
        <v>935</v>
      </c>
      <c r="D12" s="4" t="s">
        <v>60</v>
      </c>
      <c r="E12" s="155">
        <f t="shared" si="4"/>
        <v>140.34722222222223</v>
      </c>
      <c r="F12" s="155">
        <f t="shared" si="0"/>
        <v>172.62708333333333</v>
      </c>
      <c r="G12" s="139">
        <f t="shared" si="5"/>
        <v>32.638888888888893</v>
      </c>
      <c r="H12" s="155">
        <f t="shared" si="2"/>
        <v>101.05</v>
      </c>
      <c r="I12" s="155">
        <f t="shared" si="3"/>
        <v>124.2915</v>
      </c>
      <c r="J12" s="139">
        <v>23.5</v>
      </c>
      <c r="K12" s="139">
        <v>19.5</v>
      </c>
      <c r="L12" s="4" t="s">
        <v>61</v>
      </c>
      <c r="M12" s="5" t="s">
        <v>49</v>
      </c>
      <c r="N12" s="5">
        <v>2</v>
      </c>
      <c r="O12" s="5" t="s">
        <v>67</v>
      </c>
      <c r="P12" s="5" t="s">
        <v>50</v>
      </c>
      <c r="Q12" s="5" t="s">
        <v>47</v>
      </c>
      <c r="R12" s="5" t="s">
        <v>31</v>
      </c>
      <c r="S12" s="129">
        <v>8544492000</v>
      </c>
      <c r="T12" s="8" t="s">
        <v>62</v>
      </c>
      <c r="U12" s="9" t="s">
        <v>24</v>
      </c>
      <c r="V12" s="8" t="s">
        <v>63</v>
      </c>
      <c r="W12" s="10" t="s">
        <v>64</v>
      </c>
      <c r="X12" s="119">
        <v>5744003720804</v>
      </c>
      <c r="Y12" t="s">
        <v>966</v>
      </c>
    </row>
    <row r="13" spans="1:59" ht="39.75" customHeight="1" x14ac:dyDescent="0.4">
      <c r="A13" s="1">
        <v>10293551</v>
      </c>
      <c r="B13" s="2" t="s">
        <v>69</v>
      </c>
      <c r="C13" s="3" t="s">
        <v>936</v>
      </c>
      <c r="D13" s="4" t="s">
        <v>60</v>
      </c>
      <c r="E13" s="155">
        <f t="shared" si="4"/>
        <v>232.91666666666669</v>
      </c>
      <c r="F13" s="155">
        <f t="shared" si="0"/>
        <v>286.48750000000001</v>
      </c>
      <c r="G13" s="139">
        <f t="shared" si="5"/>
        <v>54.166666666666671</v>
      </c>
      <c r="H13" s="155">
        <f t="shared" si="2"/>
        <v>167.7</v>
      </c>
      <c r="I13" s="155">
        <f t="shared" si="3"/>
        <v>206.27099999999999</v>
      </c>
      <c r="J13" s="139">
        <v>39</v>
      </c>
      <c r="K13" s="139">
        <v>34</v>
      </c>
      <c r="L13" s="4" t="s">
        <v>61</v>
      </c>
      <c r="M13" s="5" t="s">
        <v>70</v>
      </c>
      <c r="N13" s="5">
        <v>3.1</v>
      </c>
      <c r="O13" s="5" t="s">
        <v>71</v>
      </c>
      <c r="P13" s="5" t="s">
        <v>72</v>
      </c>
      <c r="Q13" s="5" t="s">
        <v>47</v>
      </c>
      <c r="R13" s="5" t="s">
        <v>31</v>
      </c>
      <c r="S13" s="129">
        <v>8544492000</v>
      </c>
      <c r="T13" s="8" t="s">
        <v>62</v>
      </c>
      <c r="U13" s="9" t="s">
        <v>24</v>
      </c>
      <c r="V13" s="8" t="s">
        <v>63</v>
      </c>
      <c r="W13" s="10" t="s">
        <v>64</v>
      </c>
      <c r="X13" s="119">
        <v>5744003720811</v>
      </c>
      <c r="Y13" t="s">
        <v>966</v>
      </c>
    </row>
    <row r="14" spans="1:59" ht="39.75" customHeight="1" x14ac:dyDescent="0.4">
      <c r="A14" s="1">
        <v>10293556</v>
      </c>
      <c r="B14" s="2" t="s">
        <v>73</v>
      </c>
      <c r="C14" s="3" t="s">
        <v>932</v>
      </c>
      <c r="D14" s="4" t="s">
        <v>60</v>
      </c>
      <c r="E14" s="155">
        <f t="shared" si="4"/>
        <v>477.77777777777777</v>
      </c>
      <c r="F14" s="155">
        <f t="shared" si="0"/>
        <v>587.66666666666663</v>
      </c>
      <c r="G14" s="139">
        <f t="shared" si="5"/>
        <v>111.11111111111111</v>
      </c>
      <c r="H14" s="155">
        <f t="shared" si="2"/>
        <v>344</v>
      </c>
      <c r="I14" s="155">
        <f t="shared" si="3"/>
        <v>423.12</v>
      </c>
      <c r="J14" s="139">
        <v>80</v>
      </c>
      <c r="K14" s="139">
        <v>68</v>
      </c>
      <c r="L14" s="4" t="s">
        <v>61</v>
      </c>
      <c r="M14" s="5" t="s">
        <v>74</v>
      </c>
      <c r="N14" s="5">
        <v>6</v>
      </c>
      <c r="O14" s="6" t="s">
        <v>75</v>
      </c>
      <c r="P14" s="5" t="s">
        <v>74</v>
      </c>
      <c r="Q14" s="5" t="s">
        <v>30</v>
      </c>
      <c r="R14" s="5" t="s">
        <v>31</v>
      </c>
      <c r="S14" s="129">
        <v>8544492000</v>
      </c>
      <c r="T14" s="8" t="s">
        <v>62</v>
      </c>
      <c r="U14" s="9" t="s">
        <v>24</v>
      </c>
      <c r="V14" s="8" t="s">
        <v>63</v>
      </c>
      <c r="W14" s="10" t="s">
        <v>64</v>
      </c>
      <c r="X14" s="119">
        <v>5744003720828</v>
      </c>
      <c r="Y14" t="s">
        <v>966</v>
      </c>
    </row>
    <row r="15" spans="1:59" ht="39.75" customHeight="1" x14ac:dyDescent="0.4">
      <c r="A15" s="1">
        <v>27290156</v>
      </c>
      <c r="B15" s="20" t="s">
        <v>76</v>
      </c>
      <c r="C15" s="3" t="s">
        <v>932</v>
      </c>
      <c r="D15" s="4" t="s">
        <v>60</v>
      </c>
      <c r="E15" s="155">
        <f t="shared" si="4"/>
        <v>477.77777777777777</v>
      </c>
      <c r="F15" s="155">
        <f t="shared" si="0"/>
        <v>587.66666666666663</v>
      </c>
      <c r="G15" s="139">
        <f t="shared" si="5"/>
        <v>111.11111111111111</v>
      </c>
      <c r="H15" s="155">
        <f t="shared" si="2"/>
        <v>344</v>
      </c>
      <c r="I15" s="155">
        <f t="shared" si="3"/>
        <v>423.12</v>
      </c>
      <c r="J15" s="139">
        <v>80</v>
      </c>
      <c r="K15" s="139">
        <v>68</v>
      </c>
      <c r="L15" s="4" t="s">
        <v>77</v>
      </c>
      <c r="M15" s="5" t="s">
        <v>78</v>
      </c>
      <c r="N15" s="5">
        <v>6</v>
      </c>
      <c r="O15" s="6" t="s">
        <v>75</v>
      </c>
      <c r="P15" s="5" t="s">
        <v>78</v>
      </c>
      <c r="Q15" s="5" t="s">
        <v>30</v>
      </c>
      <c r="R15" s="5" t="s">
        <v>31</v>
      </c>
      <c r="S15" s="129">
        <v>8544492000</v>
      </c>
      <c r="T15" s="8" t="s">
        <v>79</v>
      </c>
      <c r="U15" s="8" t="s">
        <v>80</v>
      </c>
      <c r="V15" s="8" t="s">
        <v>81</v>
      </c>
      <c r="W15" s="10" t="s">
        <v>82</v>
      </c>
      <c r="X15" s="119">
        <v>5744003720866</v>
      </c>
      <c r="Y15" t="s">
        <v>966</v>
      </c>
    </row>
    <row r="16" spans="1:59" ht="39.75" customHeight="1" x14ac:dyDescent="0.4">
      <c r="A16" s="1">
        <v>25293856</v>
      </c>
      <c r="B16" s="21" t="s">
        <v>83</v>
      </c>
      <c r="C16" s="3" t="s">
        <v>932</v>
      </c>
      <c r="D16" s="4" t="s">
        <v>60</v>
      </c>
      <c r="E16" s="155">
        <f t="shared" si="4"/>
        <v>477.77777777777777</v>
      </c>
      <c r="F16" s="155">
        <f t="shared" si="0"/>
        <v>587.66666666666663</v>
      </c>
      <c r="G16" s="139">
        <f t="shared" si="5"/>
        <v>111.11111111111111</v>
      </c>
      <c r="H16" s="155">
        <f t="shared" si="2"/>
        <v>344</v>
      </c>
      <c r="I16" s="155">
        <f t="shared" si="3"/>
        <v>423.12</v>
      </c>
      <c r="J16" s="139">
        <v>80</v>
      </c>
      <c r="K16" s="139">
        <v>68</v>
      </c>
      <c r="L16" s="4" t="s">
        <v>84</v>
      </c>
      <c r="M16" s="5" t="s">
        <v>78</v>
      </c>
      <c r="N16" s="5">
        <v>6</v>
      </c>
      <c r="O16" s="6" t="s">
        <v>75</v>
      </c>
      <c r="P16" s="5" t="s">
        <v>78</v>
      </c>
      <c r="Q16" s="5" t="s">
        <v>30</v>
      </c>
      <c r="R16" s="5" t="s">
        <v>31</v>
      </c>
      <c r="S16" s="129">
        <v>8544492000</v>
      </c>
      <c r="T16" s="8" t="s">
        <v>85</v>
      </c>
      <c r="U16" s="8" t="s">
        <v>80</v>
      </c>
      <c r="V16" s="8" t="s">
        <v>86</v>
      </c>
      <c r="W16" s="10" t="s">
        <v>87</v>
      </c>
      <c r="X16" s="119">
        <v>5744003720842</v>
      </c>
      <c r="Y16" t="s">
        <v>966</v>
      </c>
    </row>
    <row r="17" spans="1:25" ht="39.75" customHeight="1" x14ac:dyDescent="0.4">
      <c r="A17" s="1">
        <v>10293547</v>
      </c>
      <c r="B17" s="2" t="s">
        <v>88</v>
      </c>
      <c r="C17" s="3" t="s">
        <v>937</v>
      </c>
      <c r="D17" s="4" t="s">
        <v>60</v>
      </c>
      <c r="E17" s="155">
        <f t="shared" si="4"/>
        <v>83.611111111111114</v>
      </c>
      <c r="F17" s="155">
        <f t="shared" si="0"/>
        <v>102.84166666666667</v>
      </c>
      <c r="G17" s="139">
        <f t="shared" si="5"/>
        <v>19.444444444444446</v>
      </c>
      <c r="H17" s="155">
        <f t="shared" si="2"/>
        <v>60.199999999999996</v>
      </c>
      <c r="I17" s="155">
        <f t="shared" si="3"/>
        <v>74.045999999999992</v>
      </c>
      <c r="J17" s="139">
        <v>14</v>
      </c>
      <c r="K17" s="139">
        <v>10</v>
      </c>
      <c r="L17" s="4" t="s">
        <v>61</v>
      </c>
      <c r="M17" s="6" t="s">
        <v>89</v>
      </c>
      <c r="N17" s="5">
        <v>0.5</v>
      </c>
      <c r="O17" s="5" t="s">
        <v>90</v>
      </c>
      <c r="P17" s="5" t="s">
        <v>90</v>
      </c>
      <c r="Q17" s="5">
        <v>18</v>
      </c>
      <c r="R17" s="5" t="s">
        <v>31</v>
      </c>
      <c r="S17" s="129">
        <v>8544492000</v>
      </c>
      <c r="T17" s="8" t="s">
        <v>62</v>
      </c>
      <c r="U17" s="7" t="s">
        <v>24</v>
      </c>
      <c r="V17" s="8" t="s">
        <v>63</v>
      </c>
      <c r="W17" s="10" t="s">
        <v>64</v>
      </c>
      <c r="X17" s="119">
        <v>5744003721580</v>
      </c>
      <c r="Y17" t="s">
        <v>966</v>
      </c>
    </row>
    <row r="18" spans="1:25" ht="39.75" customHeight="1" x14ac:dyDescent="0.4">
      <c r="A18" s="1">
        <v>10293562</v>
      </c>
      <c r="B18" s="2" t="s">
        <v>91</v>
      </c>
      <c r="C18" s="3" t="s">
        <v>92</v>
      </c>
      <c r="D18" s="4" t="s">
        <v>60</v>
      </c>
      <c r="E18" s="155">
        <f t="shared" si="4"/>
        <v>836.11111111111109</v>
      </c>
      <c r="F18" s="155">
        <f t="shared" si="0"/>
        <v>1028.4166666666665</v>
      </c>
      <c r="G18" s="139">
        <f t="shared" si="5"/>
        <v>194.44444444444446</v>
      </c>
      <c r="H18" s="155">
        <f t="shared" si="2"/>
        <v>602</v>
      </c>
      <c r="I18" s="155">
        <f t="shared" si="3"/>
        <v>740.46</v>
      </c>
      <c r="J18" s="139">
        <v>140</v>
      </c>
      <c r="K18" s="139">
        <v>124</v>
      </c>
      <c r="L18" s="4" t="s">
        <v>61</v>
      </c>
      <c r="M18" s="5" t="s">
        <v>93</v>
      </c>
      <c r="N18" s="5">
        <v>10</v>
      </c>
      <c r="O18" s="6" t="s">
        <v>94</v>
      </c>
      <c r="P18" s="5" t="s">
        <v>93</v>
      </c>
      <c r="Q18" s="5" t="s">
        <v>30</v>
      </c>
      <c r="R18" s="5" t="s">
        <v>31</v>
      </c>
      <c r="S18" s="129">
        <v>8544492000</v>
      </c>
      <c r="T18" s="8" t="s">
        <v>62</v>
      </c>
      <c r="U18" s="9" t="s">
        <v>24</v>
      </c>
      <c r="V18" s="8" t="s">
        <v>63</v>
      </c>
      <c r="W18" s="10" t="s">
        <v>64</v>
      </c>
      <c r="X18" s="119">
        <v>5744003720835</v>
      </c>
      <c r="Y18" t="s">
        <v>966</v>
      </c>
    </row>
    <row r="19" spans="1:25" ht="39.75" customHeight="1" x14ac:dyDescent="0.4">
      <c r="A19" s="1">
        <v>27290162</v>
      </c>
      <c r="B19" s="20" t="s">
        <v>95</v>
      </c>
      <c r="C19" s="3" t="s">
        <v>92</v>
      </c>
      <c r="D19" s="4" t="s">
        <v>60</v>
      </c>
      <c r="E19" s="155">
        <f t="shared" si="4"/>
        <v>836.11111111111109</v>
      </c>
      <c r="F19" s="155">
        <f t="shared" si="0"/>
        <v>1028.4166666666665</v>
      </c>
      <c r="G19" s="139">
        <f t="shared" si="5"/>
        <v>194.44444444444446</v>
      </c>
      <c r="H19" s="155">
        <f t="shared" si="2"/>
        <v>602</v>
      </c>
      <c r="I19" s="155">
        <f t="shared" si="3"/>
        <v>740.46</v>
      </c>
      <c r="J19" s="139">
        <v>140</v>
      </c>
      <c r="K19" s="139">
        <v>124</v>
      </c>
      <c r="L19" s="4" t="s">
        <v>77</v>
      </c>
      <c r="M19" s="5" t="s">
        <v>96</v>
      </c>
      <c r="N19" s="5">
        <v>9.6999999999999993</v>
      </c>
      <c r="O19" s="6" t="s">
        <v>97</v>
      </c>
      <c r="P19" s="5" t="s">
        <v>96</v>
      </c>
      <c r="Q19" s="5" t="s">
        <v>30</v>
      </c>
      <c r="R19" s="5" t="s">
        <v>31</v>
      </c>
      <c r="S19" s="129">
        <v>8544492000</v>
      </c>
      <c r="T19" s="8" t="s">
        <v>79</v>
      </c>
      <c r="U19" s="8" t="s">
        <v>80</v>
      </c>
      <c r="V19" s="8" t="s">
        <v>81</v>
      </c>
      <c r="W19" s="10" t="s">
        <v>82</v>
      </c>
      <c r="X19" s="119">
        <v>5744003720873</v>
      </c>
      <c r="Y19" t="s">
        <v>966</v>
      </c>
    </row>
    <row r="20" spans="1:25" ht="39.75" customHeight="1" x14ac:dyDescent="0.4">
      <c r="A20" s="1">
        <v>25293862</v>
      </c>
      <c r="B20" s="21" t="s">
        <v>98</v>
      </c>
      <c r="C20" s="3" t="s">
        <v>92</v>
      </c>
      <c r="D20" s="4" t="s">
        <v>60</v>
      </c>
      <c r="E20" s="155">
        <f t="shared" si="4"/>
        <v>836.11111111111109</v>
      </c>
      <c r="F20" s="155">
        <f t="shared" si="0"/>
        <v>1028.4166666666665</v>
      </c>
      <c r="G20" s="139">
        <f t="shared" si="5"/>
        <v>194.44444444444446</v>
      </c>
      <c r="H20" s="155">
        <f t="shared" si="2"/>
        <v>602</v>
      </c>
      <c r="I20" s="155">
        <f t="shared" si="3"/>
        <v>740.46</v>
      </c>
      <c r="J20" s="139">
        <v>140</v>
      </c>
      <c r="K20" s="139">
        <v>124</v>
      </c>
      <c r="L20" s="4" t="s">
        <v>84</v>
      </c>
      <c r="M20" s="5" t="s">
        <v>93</v>
      </c>
      <c r="N20" s="5">
        <v>10</v>
      </c>
      <c r="O20" s="6" t="s">
        <v>94</v>
      </c>
      <c r="P20" s="5" t="s">
        <v>93</v>
      </c>
      <c r="Q20" s="5" t="s">
        <v>30</v>
      </c>
      <c r="R20" s="5" t="s">
        <v>31</v>
      </c>
      <c r="S20" s="129">
        <v>8544492000</v>
      </c>
      <c r="T20" s="8" t="s">
        <v>85</v>
      </c>
      <c r="U20" s="8" t="s">
        <v>80</v>
      </c>
      <c r="V20" s="8" t="s">
        <v>86</v>
      </c>
      <c r="W20" s="10" t="s">
        <v>87</v>
      </c>
      <c r="X20" s="119">
        <v>5744003720859</v>
      </c>
      <c r="Y20" t="s">
        <v>966</v>
      </c>
    </row>
    <row r="21" spans="1:25" ht="39.75" customHeight="1" x14ac:dyDescent="0.4">
      <c r="A21" s="22">
        <v>21333549</v>
      </c>
      <c r="B21" s="20" t="s">
        <v>99</v>
      </c>
      <c r="C21" s="3" t="s">
        <v>935</v>
      </c>
      <c r="D21" s="9" t="s">
        <v>100</v>
      </c>
      <c r="E21" s="155">
        <f t="shared" si="4"/>
        <v>542.46153846153845</v>
      </c>
      <c r="F21" s="155">
        <f t="shared" si="0"/>
        <v>667.22769230769234</v>
      </c>
      <c r="G21" s="140">
        <f>J21/0.65</f>
        <v>126.15384615384615</v>
      </c>
      <c r="H21" s="155">
        <f t="shared" si="2"/>
        <v>352.59999999999997</v>
      </c>
      <c r="I21" s="155">
        <f t="shared" si="3"/>
        <v>433.69799999999998</v>
      </c>
      <c r="J21" s="140">
        <v>82</v>
      </c>
      <c r="K21" s="140">
        <v>65</v>
      </c>
      <c r="L21" s="23" t="s">
        <v>101</v>
      </c>
      <c r="M21" s="6" t="s">
        <v>102</v>
      </c>
      <c r="N21" s="6">
        <v>3.7</v>
      </c>
      <c r="O21" s="6" t="s">
        <v>103</v>
      </c>
      <c r="P21" s="6" t="s">
        <v>102</v>
      </c>
      <c r="Q21" s="5" t="s">
        <v>104</v>
      </c>
      <c r="R21" s="5" t="s">
        <v>31</v>
      </c>
      <c r="S21" s="129">
        <v>8544492000</v>
      </c>
      <c r="T21" s="8" t="s">
        <v>105</v>
      </c>
      <c r="U21" s="8" t="s">
        <v>106</v>
      </c>
      <c r="V21" s="8" t="s">
        <v>107</v>
      </c>
      <c r="W21" s="10" t="s">
        <v>108</v>
      </c>
      <c r="X21" s="119">
        <v>5744003720644</v>
      </c>
      <c r="Y21" t="s">
        <v>966</v>
      </c>
    </row>
    <row r="22" spans="1:25" ht="39.75" customHeight="1" x14ac:dyDescent="0.4">
      <c r="A22" s="22">
        <v>21333554</v>
      </c>
      <c r="B22" s="20" t="s">
        <v>109</v>
      </c>
      <c r="C22" s="3" t="s">
        <v>936</v>
      </c>
      <c r="D22" s="4" t="s">
        <v>100</v>
      </c>
      <c r="E22" s="155">
        <f t="shared" si="4"/>
        <v>893.07692307692298</v>
      </c>
      <c r="F22" s="155">
        <f t="shared" si="0"/>
        <v>1098.4846153846152</v>
      </c>
      <c r="G22" s="140">
        <f t="shared" ref="G22:G28" si="6">J22/0.65</f>
        <v>207.69230769230768</v>
      </c>
      <c r="H22" s="155">
        <f t="shared" si="2"/>
        <v>580.5</v>
      </c>
      <c r="I22" s="155">
        <f t="shared" si="3"/>
        <v>714.01499999999999</v>
      </c>
      <c r="J22" s="139">
        <v>135</v>
      </c>
      <c r="K22" s="139">
        <v>105</v>
      </c>
      <c r="L22" s="23" t="s">
        <v>101</v>
      </c>
      <c r="M22" s="6" t="s">
        <v>110</v>
      </c>
      <c r="N22" s="6">
        <v>5.7</v>
      </c>
      <c r="O22" s="6" t="s">
        <v>111</v>
      </c>
      <c r="P22" s="6" t="s">
        <v>110</v>
      </c>
      <c r="Q22" s="5" t="s">
        <v>112</v>
      </c>
      <c r="R22" s="5" t="s">
        <v>31</v>
      </c>
      <c r="S22" s="129">
        <v>8544492000</v>
      </c>
      <c r="T22" s="8" t="s">
        <v>105</v>
      </c>
      <c r="U22" s="8" t="s">
        <v>106</v>
      </c>
      <c r="V22" s="8" t="s">
        <v>107</v>
      </c>
      <c r="W22" s="10" t="s">
        <v>108</v>
      </c>
      <c r="X22" s="119">
        <v>5744003720651</v>
      </c>
      <c r="Y22" t="s">
        <v>966</v>
      </c>
    </row>
    <row r="23" spans="1:25" ht="39.75" customHeight="1" x14ac:dyDescent="0.4">
      <c r="A23" s="1">
        <v>21333556</v>
      </c>
      <c r="B23" s="20" t="s">
        <v>113</v>
      </c>
      <c r="C23" s="3" t="s">
        <v>932</v>
      </c>
      <c r="D23" s="4" t="s">
        <v>100</v>
      </c>
      <c r="E23" s="155">
        <f t="shared" si="4"/>
        <v>1786.153846153846</v>
      </c>
      <c r="F23" s="155">
        <f t="shared" si="0"/>
        <v>2196.9692307692303</v>
      </c>
      <c r="G23" s="140">
        <f t="shared" si="6"/>
        <v>415.38461538461536</v>
      </c>
      <c r="H23" s="155">
        <f t="shared" si="2"/>
        <v>1161</v>
      </c>
      <c r="I23" s="155">
        <f t="shared" si="3"/>
        <v>1428.03</v>
      </c>
      <c r="J23" s="139">
        <v>270</v>
      </c>
      <c r="K23" s="139">
        <v>205</v>
      </c>
      <c r="L23" s="23" t="s">
        <v>101</v>
      </c>
      <c r="M23" s="5" t="s">
        <v>114</v>
      </c>
      <c r="N23" s="5">
        <v>11.6</v>
      </c>
      <c r="O23" s="6" t="s">
        <v>115</v>
      </c>
      <c r="P23" s="5" t="s">
        <v>114</v>
      </c>
      <c r="Q23" s="5" t="s">
        <v>30</v>
      </c>
      <c r="R23" s="5" t="s">
        <v>31</v>
      </c>
      <c r="S23" s="129">
        <v>8544492000</v>
      </c>
      <c r="T23" s="8" t="s">
        <v>105</v>
      </c>
      <c r="U23" s="8" t="s">
        <v>106</v>
      </c>
      <c r="V23" s="8" t="s">
        <v>107</v>
      </c>
      <c r="W23" s="10" t="s">
        <v>108</v>
      </c>
      <c r="X23" s="119">
        <v>5744003720668</v>
      </c>
      <c r="Y23" t="s">
        <v>966</v>
      </c>
    </row>
    <row r="24" spans="1:25" ht="39.75" customHeight="1" x14ac:dyDescent="0.4">
      <c r="A24" s="24">
        <v>24333856</v>
      </c>
      <c r="B24" s="20" t="s">
        <v>116</v>
      </c>
      <c r="C24" s="3" t="s">
        <v>932</v>
      </c>
      <c r="D24" s="4" t="s">
        <v>100</v>
      </c>
      <c r="E24" s="155">
        <f t="shared" si="4"/>
        <v>1786.153846153846</v>
      </c>
      <c r="F24" s="155">
        <f t="shared" si="0"/>
        <v>2196.9692307692303</v>
      </c>
      <c r="G24" s="140">
        <f t="shared" si="6"/>
        <v>415.38461538461536</v>
      </c>
      <c r="H24" s="155">
        <f t="shared" si="2"/>
        <v>1161</v>
      </c>
      <c r="I24" s="155">
        <f t="shared" si="3"/>
        <v>1428.03</v>
      </c>
      <c r="J24" s="139">
        <v>270</v>
      </c>
      <c r="K24" s="139">
        <v>205</v>
      </c>
      <c r="L24" s="23" t="s">
        <v>101</v>
      </c>
      <c r="M24" s="5" t="s">
        <v>114</v>
      </c>
      <c r="N24" s="5">
        <v>11.6</v>
      </c>
      <c r="O24" s="6" t="s">
        <v>115</v>
      </c>
      <c r="P24" s="5" t="s">
        <v>114</v>
      </c>
      <c r="Q24" s="5" t="s">
        <v>30</v>
      </c>
      <c r="R24" s="5" t="s">
        <v>31</v>
      </c>
      <c r="S24" s="129">
        <v>8544492000</v>
      </c>
      <c r="T24" s="8" t="s">
        <v>117</v>
      </c>
      <c r="U24" s="8" t="s">
        <v>118</v>
      </c>
      <c r="V24" s="8" t="s">
        <v>119</v>
      </c>
      <c r="W24" s="10" t="s">
        <v>108</v>
      </c>
      <c r="X24" s="119">
        <v>5744003720682</v>
      </c>
      <c r="Y24" t="s">
        <v>966</v>
      </c>
    </row>
    <row r="25" spans="1:25" ht="39.75" customHeight="1" x14ac:dyDescent="0.4">
      <c r="A25" s="1">
        <v>21333564</v>
      </c>
      <c r="B25" s="20" t="s">
        <v>120</v>
      </c>
      <c r="C25" s="3" t="s">
        <v>92</v>
      </c>
      <c r="D25" s="4" t="s">
        <v>100</v>
      </c>
      <c r="E25" s="155">
        <f t="shared" si="4"/>
        <v>2844.6153846153848</v>
      </c>
      <c r="F25" s="155">
        <f t="shared" si="0"/>
        <v>3498.876923076923</v>
      </c>
      <c r="G25" s="140">
        <f t="shared" si="6"/>
        <v>661.53846153846155</v>
      </c>
      <c r="H25" s="155">
        <f t="shared" si="2"/>
        <v>1849</v>
      </c>
      <c r="I25" s="155">
        <f t="shared" si="3"/>
        <v>2274.27</v>
      </c>
      <c r="J25" s="139">
        <v>430</v>
      </c>
      <c r="K25" s="139">
        <v>325</v>
      </c>
      <c r="L25" s="23" t="s">
        <v>101</v>
      </c>
      <c r="M25" s="5" t="s">
        <v>121</v>
      </c>
      <c r="N25" s="5">
        <v>18.5</v>
      </c>
      <c r="O25" s="6" t="s">
        <v>122</v>
      </c>
      <c r="P25" s="5" t="s">
        <v>121</v>
      </c>
      <c r="Q25" s="5" t="s">
        <v>30</v>
      </c>
      <c r="R25" s="5" t="s">
        <v>31</v>
      </c>
      <c r="S25" s="129">
        <v>8544492000</v>
      </c>
      <c r="T25" s="8" t="s">
        <v>105</v>
      </c>
      <c r="U25" s="8" t="s">
        <v>106</v>
      </c>
      <c r="V25" s="8" t="s">
        <v>107</v>
      </c>
      <c r="W25" s="10" t="s">
        <v>108</v>
      </c>
      <c r="X25" s="119">
        <v>5744003720675</v>
      </c>
      <c r="Y25" t="s">
        <v>966</v>
      </c>
    </row>
    <row r="26" spans="1:25" ht="39.75" customHeight="1" x14ac:dyDescent="0.4">
      <c r="A26" s="22">
        <v>24333862</v>
      </c>
      <c r="B26" s="20" t="s">
        <v>123</v>
      </c>
      <c r="C26" s="3" t="s">
        <v>92</v>
      </c>
      <c r="D26" s="4" t="s">
        <v>100</v>
      </c>
      <c r="E26" s="155">
        <f t="shared" si="4"/>
        <v>2844.6153846153848</v>
      </c>
      <c r="F26" s="155">
        <f t="shared" si="0"/>
        <v>3498.876923076923</v>
      </c>
      <c r="G26" s="140">
        <f t="shared" si="6"/>
        <v>661.53846153846155</v>
      </c>
      <c r="H26" s="155">
        <f t="shared" si="2"/>
        <v>1849</v>
      </c>
      <c r="I26" s="155">
        <f t="shared" si="3"/>
        <v>2274.27</v>
      </c>
      <c r="J26" s="139">
        <v>430</v>
      </c>
      <c r="K26" s="139">
        <v>325</v>
      </c>
      <c r="L26" s="25" t="s">
        <v>101</v>
      </c>
      <c r="M26" s="5" t="s">
        <v>121</v>
      </c>
      <c r="N26" s="5">
        <v>18.5</v>
      </c>
      <c r="O26" s="6" t="s">
        <v>122</v>
      </c>
      <c r="P26" s="5" t="s">
        <v>121</v>
      </c>
      <c r="Q26" s="5" t="s">
        <v>30</v>
      </c>
      <c r="R26" s="5" t="s">
        <v>31</v>
      </c>
      <c r="S26" s="129">
        <v>8544492000</v>
      </c>
      <c r="T26" s="8" t="s">
        <v>117</v>
      </c>
      <c r="U26" s="8" t="s">
        <v>118</v>
      </c>
      <c r="V26" s="8" t="s">
        <v>119</v>
      </c>
      <c r="W26" s="10" t="s">
        <v>108</v>
      </c>
      <c r="X26" s="119">
        <v>5744003720699</v>
      </c>
      <c r="Y26" t="s">
        <v>966</v>
      </c>
    </row>
    <row r="27" spans="1:25" ht="39.75" customHeight="1" x14ac:dyDescent="0.4">
      <c r="A27" s="137">
        <v>29330156</v>
      </c>
      <c r="B27" s="136" t="s">
        <v>124</v>
      </c>
      <c r="C27" s="3" t="s">
        <v>932</v>
      </c>
      <c r="D27" s="4" t="s">
        <v>100</v>
      </c>
      <c r="E27" s="155">
        <f t="shared" si="4"/>
        <v>1786.153846153846</v>
      </c>
      <c r="F27" s="155">
        <f t="shared" si="0"/>
        <v>2196.9692307692303</v>
      </c>
      <c r="G27" s="140">
        <f t="shared" si="6"/>
        <v>415.38461538461536</v>
      </c>
      <c r="H27" s="155">
        <f t="shared" si="2"/>
        <v>1161</v>
      </c>
      <c r="I27" s="155">
        <f t="shared" si="3"/>
        <v>1428.03</v>
      </c>
      <c r="J27" s="139">
        <v>270</v>
      </c>
      <c r="K27" s="139">
        <v>205</v>
      </c>
      <c r="L27" s="23" t="s">
        <v>101</v>
      </c>
      <c r="M27" s="5" t="s">
        <v>114</v>
      </c>
      <c r="N27" s="5">
        <v>11.6</v>
      </c>
      <c r="O27" s="6" t="s">
        <v>115</v>
      </c>
      <c r="P27" s="5" t="s">
        <v>114</v>
      </c>
      <c r="Q27" s="5" t="s">
        <v>30</v>
      </c>
      <c r="R27" s="5" t="s">
        <v>31</v>
      </c>
      <c r="S27" s="129">
        <v>8544492000</v>
      </c>
      <c r="T27" s="8" t="s">
        <v>117</v>
      </c>
      <c r="U27" s="8" t="s">
        <v>118</v>
      </c>
      <c r="V27" s="8" t="s">
        <v>119</v>
      </c>
      <c r="W27" s="10" t="s">
        <v>108</v>
      </c>
      <c r="X27" s="119"/>
      <c r="Y27" t="s">
        <v>966</v>
      </c>
    </row>
    <row r="28" spans="1:25" ht="39.75" customHeight="1" x14ac:dyDescent="0.4">
      <c r="A28" s="137">
        <v>29330162</v>
      </c>
      <c r="B28" s="136" t="s">
        <v>125</v>
      </c>
      <c r="C28" s="3" t="s">
        <v>92</v>
      </c>
      <c r="D28" s="4" t="s">
        <v>100</v>
      </c>
      <c r="E28" s="155">
        <f t="shared" si="4"/>
        <v>2844.6153846153848</v>
      </c>
      <c r="F28" s="155">
        <f t="shared" si="0"/>
        <v>3498.876923076923</v>
      </c>
      <c r="G28" s="140">
        <f t="shared" si="6"/>
        <v>661.53846153846155</v>
      </c>
      <c r="H28" s="155">
        <f t="shared" si="2"/>
        <v>1849</v>
      </c>
      <c r="I28" s="155">
        <f t="shared" si="3"/>
        <v>2274.27</v>
      </c>
      <c r="J28" s="139">
        <v>430</v>
      </c>
      <c r="K28" s="139">
        <v>325</v>
      </c>
      <c r="L28" s="23" t="s">
        <v>101</v>
      </c>
      <c r="M28" s="5" t="s">
        <v>121</v>
      </c>
      <c r="N28" s="5">
        <v>18.5</v>
      </c>
      <c r="O28" s="6" t="s">
        <v>122</v>
      </c>
      <c r="P28" s="5" t="s">
        <v>121</v>
      </c>
      <c r="Q28" s="5" t="s">
        <v>30</v>
      </c>
      <c r="R28" s="5" t="s">
        <v>31</v>
      </c>
      <c r="S28" s="129">
        <v>8544492000</v>
      </c>
      <c r="T28" s="8" t="s">
        <v>105</v>
      </c>
      <c r="U28" s="8" t="s">
        <v>106</v>
      </c>
      <c r="V28" s="8" t="s">
        <v>107</v>
      </c>
      <c r="W28" s="10" t="s">
        <v>108</v>
      </c>
      <c r="X28" s="119"/>
      <c r="Y28" t="s">
        <v>966</v>
      </c>
    </row>
    <row r="29" spans="1:25" ht="39.75" customHeight="1" x14ac:dyDescent="0.4">
      <c r="A29" s="1">
        <v>38874298</v>
      </c>
      <c r="B29" s="2" t="s">
        <v>126</v>
      </c>
      <c r="C29" s="3" t="s">
        <v>30</v>
      </c>
      <c r="D29" s="26" t="s">
        <v>127</v>
      </c>
      <c r="E29" s="155">
        <f t="shared" si="4"/>
        <v>769.69999999999993</v>
      </c>
      <c r="F29" s="155">
        <f t="shared" si="0"/>
        <v>946.73099999999988</v>
      </c>
      <c r="G29" s="141">
        <v>179</v>
      </c>
      <c r="H29" s="155">
        <f t="shared" si="2"/>
        <v>554.69999999999993</v>
      </c>
      <c r="I29" s="155">
        <f t="shared" si="3"/>
        <v>682.28099999999995</v>
      </c>
      <c r="J29" s="141">
        <v>129</v>
      </c>
      <c r="K29" s="141">
        <v>95</v>
      </c>
      <c r="L29" s="12" t="s">
        <v>128</v>
      </c>
      <c r="M29" s="11" t="s">
        <v>129</v>
      </c>
      <c r="N29" s="5">
        <v>13</v>
      </c>
      <c r="O29" s="11" t="s">
        <v>130</v>
      </c>
      <c r="P29" s="11" t="s">
        <v>129</v>
      </c>
      <c r="Q29" s="5" t="s">
        <v>30</v>
      </c>
      <c r="R29" s="5" t="s">
        <v>31</v>
      </c>
      <c r="S29" s="119" t="s">
        <v>131</v>
      </c>
      <c r="T29" s="27" t="s">
        <v>132</v>
      </c>
      <c r="U29" s="27" t="s">
        <v>133</v>
      </c>
      <c r="V29" s="27" t="s">
        <v>134</v>
      </c>
      <c r="W29" s="10" t="s">
        <v>135</v>
      </c>
      <c r="X29" s="120">
        <v>5744003720019</v>
      </c>
      <c r="Y29" s="157" t="s">
        <v>967</v>
      </c>
    </row>
    <row r="30" spans="1:25" ht="39.75" customHeight="1" x14ac:dyDescent="0.4">
      <c r="A30" s="22">
        <v>38989998</v>
      </c>
      <c r="B30" s="21" t="s">
        <v>136</v>
      </c>
      <c r="C30" s="29" t="s">
        <v>30</v>
      </c>
      <c r="D30" s="26" t="s">
        <v>136</v>
      </c>
      <c r="E30" s="155">
        <f t="shared" si="4"/>
        <v>6445.7</v>
      </c>
      <c r="F30" s="155">
        <f t="shared" si="0"/>
        <v>7928.2109999999993</v>
      </c>
      <c r="G30" s="141">
        <v>1499</v>
      </c>
      <c r="H30" s="155">
        <f t="shared" si="2"/>
        <v>4730</v>
      </c>
      <c r="I30" s="155">
        <f t="shared" si="3"/>
        <v>5817.9</v>
      </c>
      <c r="J30" s="141">
        <v>1100</v>
      </c>
      <c r="K30" s="141">
        <v>900</v>
      </c>
      <c r="L30" s="7" t="s">
        <v>137</v>
      </c>
      <c r="M30" s="15" t="s">
        <v>24</v>
      </c>
      <c r="N30" s="5">
        <v>10</v>
      </c>
      <c r="O30" s="11" t="s">
        <v>138</v>
      </c>
      <c r="P30" s="15" t="s">
        <v>24</v>
      </c>
      <c r="Q30" s="5" t="s">
        <v>30</v>
      </c>
      <c r="R30" s="5" t="s">
        <v>31</v>
      </c>
      <c r="S30" s="119">
        <v>7606123000</v>
      </c>
      <c r="T30" s="27" t="s">
        <v>139</v>
      </c>
      <c r="U30" s="30"/>
      <c r="V30" s="30"/>
      <c r="W30" s="10" t="s">
        <v>140</v>
      </c>
      <c r="X30" s="120">
        <v>5744003720118</v>
      </c>
      <c r="Y30" s="157" t="s">
        <v>967</v>
      </c>
    </row>
    <row r="31" spans="1:25" ht="39.75" customHeight="1" x14ac:dyDescent="0.4">
      <c r="A31" s="1">
        <v>38501697</v>
      </c>
      <c r="B31" s="2" t="s">
        <v>141</v>
      </c>
      <c r="C31" s="29" t="s">
        <v>954</v>
      </c>
      <c r="D31" s="26" t="s">
        <v>142</v>
      </c>
      <c r="E31" s="155">
        <f t="shared" si="4"/>
        <v>382.7</v>
      </c>
      <c r="F31" s="155">
        <f t="shared" si="0"/>
        <v>470.721</v>
      </c>
      <c r="G31" s="141">
        <v>89</v>
      </c>
      <c r="H31" s="155">
        <f t="shared" si="2"/>
        <v>296.7</v>
      </c>
      <c r="I31" s="155">
        <f t="shared" si="3"/>
        <v>364.94099999999997</v>
      </c>
      <c r="J31" s="141">
        <v>69</v>
      </c>
      <c r="K31" s="141">
        <v>55</v>
      </c>
      <c r="L31" s="12" t="s">
        <v>143</v>
      </c>
      <c r="M31" s="5" t="s">
        <v>144</v>
      </c>
      <c r="N31" s="5">
        <v>9</v>
      </c>
      <c r="O31" s="5" t="s">
        <v>145</v>
      </c>
      <c r="P31" s="5" t="s">
        <v>144</v>
      </c>
      <c r="Q31" s="5" t="s">
        <v>30</v>
      </c>
      <c r="R31" s="5" t="s">
        <v>31</v>
      </c>
      <c r="S31" s="119">
        <v>9403700000</v>
      </c>
      <c r="T31" s="27" t="s">
        <v>146</v>
      </c>
      <c r="U31" s="27" t="s">
        <v>147</v>
      </c>
      <c r="V31" s="30" t="s">
        <v>148</v>
      </c>
      <c r="W31" s="10" t="s">
        <v>149</v>
      </c>
      <c r="X31" s="120">
        <v>5744003720088</v>
      </c>
      <c r="Y31" s="157" t="s">
        <v>967</v>
      </c>
    </row>
    <row r="32" spans="1:25" ht="39.75" customHeight="1" x14ac:dyDescent="0.4">
      <c r="A32" s="1">
        <v>38501696</v>
      </c>
      <c r="B32" s="2" t="s">
        <v>150</v>
      </c>
      <c r="C32" s="3" t="s">
        <v>955</v>
      </c>
      <c r="D32" s="26" t="s">
        <v>151</v>
      </c>
      <c r="E32" s="155">
        <f t="shared" si="4"/>
        <v>365.5</v>
      </c>
      <c r="F32" s="155">
        <f t="shared" si="0"/>
        <v>449.565</v>
      </c>
      <c r="G32" s="141">
        <v>85</v>
      </c>
      <c r="H32" s="155">
        <f t="shared" si="2"/>
        <v>258</v>
      </c>
      <c r="I32" s="155">
        <f t="shared" si="3"/>
        <v>317.33999999999997</v>
      </c>
      <c r="J32" s="141">
        <v>60</v>
      </c>
      <c r="K32" s="141">
        <v>45</v>
      </c>
      <c r="L32" s="31" t="s">
        <v>152</v>
      </c>
      <c r="M32" s="5" t="s">
        <v>153</v>
      </c>
      <c r="N32" s="6">
        <v>6</v>
      </c>
      <c r="O32" s="11" t="s">
        <v>154</v>
      </c>
      <c r="P32" s="5" t="s">
        <v>153</v>
      </c>
      <c r="Q32" s="5" t="s">
        <v>30</v>
      </c>
      <c r="R32" s="5" t="s">
        <v>31</v>
      </c>
      <c r="S32" s="119">
        <v>9403700000</v>
      </c>
      <c r="T32" s="32" t="s">
        <v>146</v>
      </c>
      <c r="U32" s="32" t="s">
        <v>147</v>
      </c>
      <c r="V32" s="33" t="s">
        <v>155</v>
      </c>
      <c r="W32" s="29" t="s">
        <v>156</v>
      </c>
      <c r="X32" s="119">
        <v>5744003721498</v>
      </c>
      <c r="Y32" s="157" t="s">
        <v>967</v>
      </c>
    </row>
    <row r="33" spans="1:25" ht="39.75" customHeight="1" x14ac:dyDescent="0.4">
      <c r="A33" s="34">
        <v>38999998</v>
      </c>
      <c r="B33" s="21" t="s">
        <v>157</v>
      </c>
      <c r="C33" s="35" t="s">
        <v>30</v>
      </c>
      <c r="D33" s="26" t="s">
        <v>158</v>
      </c>
      <c r="E33" s="155">
        <f t="shared" si="4"/>
        <v>8600</v>
      </c>
      <c r="F33" s="155">
        <f t="shared" si="0"/>
        <v>10578</v>
      </c>
      <c r="G33" s="141">
        <v>2000</v>
      </c>
      <c r="H33" s="155">
        <f t="shared" si="2"/>
        <v>6450</v>
      </c>
      <c r="I33" s="155">
        <f t="shared" si="3"/>
        <v>7933.5</v>
      </c>
      <c r="J33" s="141">
        <v>1500</v>
      </c>
      <c r="K33" s="141">
        <v>1280</v>
      </c>
      <c r="L33" s="4" t="s">
        <v>159</v>
      </c>
      <c r="M33" s="5" t="s">
        <v>160</v>
      </c>
      <c r="N33" s="5">
        <v>48</v>
      </c>
      <c r="O33" s="5" t="s">
        <v>161</v>
      </c>
      <c r="P33" s="5" t="s">
        <v>160</v>
      </c>
      <c r="Q33" s="5" t="s">
        <v>30</v>
      </c>
      <c r="R33" s="5" t="s">
        <v>31</v>
      </c>
      <c r="S33" s="119" t="s">
        <v>162</v>
      </c>
      <c r="T33" s="27" t="s">
        <v>163</v>
      </c>
      <c r="U33" s="27" t="s">
        <v>164</v>
      </c>
      <c r="V33" s="27" t="s">
        <v>165</v>
      </c>
      <c r="W33" s="10" t="s">
        <v>166</v>
      </c>
      <c r="X33" s="120">
        <v>5744003720125</v>
      </c>
      <c r="Y33" s="157" t="s">
        <v>967</v>
      </c>
    </row>
    <row r="34" spans="1:25" ht="39.75" customHeight="1" x14ac:dyDescent="0.4">
      <c r="A34" s="1">
        <v>38501699</v>
      </c>
      <c r="B34" s="2" t="s">
        <v>167</v>
      </c>
      <c r="C34" s="3" t="s">
        <v>168</v>
      </c>
      <c r="D34" s="26" t="s">
        <v>169</v>
      </c>
      <c r="E34" s="155">
        <f t="shared" si="4"/>
        <v>7095</v>
      </c>
      <c r="F34" s="155">
        <f t="shared" si="0"/>
        <v>8726.85</v>
      </c>
      <c r="G34" s="141">
        <v>1650</v>
      </c>
      <c r="H34" s="155">
        <f t="shared" si="2"/>
        <v>5590</v>
      </c>
      <c r="I34" s="155">
        <f t="shared" si="3"/>
        <v>6875.7</v>
      </c>
      <c r="J34" s="141">
        <v>1300</v>
      </c>
      <c r="K34" s="141">
        <v>1100</v>
      </c>
      <c r="L34" s="12" t="s">
        <v>170</v>
      </c>
      <c r="M34" s="5" t="s">
        <v>171</v>
      </c>
      <c r="N34" s="6">
        <v>35</v>
      </c>
      <c r="O34" s="5" t="s">
        <v>172</v>
      </c>
      <c r="P34" s="5" t="s">
        <v>171</v>
      </c>
      <c r="Q34" s="5" t="s">
        <v>30</v>
      </c>
      <c r="R34" s="5" t="s">
        <v>31</v>
      </c>
      <c r="S34" s="119">
        <v>7606123000</v>
      </c>
      <c r="T34" s="27" t="s">
        <v>173</v>
      </c>
      <c r="U34" s="27" t="s">
        <v>174</v>
      </c>
      <c r="V34" s="30" t="s">
        <v>175</v>
      </c>
      <c r="W34" s="10" t="s">
        <v>176</v>
      </c>
      <c r="X34" s="121">
        <v>5744003721634</v>
      </c>
      <c r="Y34" s="157" t="s">
        <v>967</v>
      </c>
    </row>
    <row r="35" spans="1:25" ht="39.75" customHeight="1" x14ac:dyDescent="0.4">
      <c r="A35" s="1">
        <v>38994299</v>
      </c>
      <c r="B35" s="2" t="s">
        <v>177</v>
      </c>
      <c r="C35" s="3" t="s">
        <v>30</v>
      </c>
      <c r="D35" s="4" t="s">
        <v>178</v>
      </c>
      <c r="E35" s="155">
        <f t="shared" si="4"/>
        <v>1371.7</v>
      </c>
      <c r="F35" s="155">
        <f t="shared" si="0"/>
        <v>1687.191</v>
      </c>
      <c r="G35" s="139">
        <v>319</v>
      </c>
      <c r="H35" s="155">
        <f t="shared" si="2"/>
        <v>855.69999999999993</v>
      </c>
      <c r="I35" s="155">
        <f t="shared" si="3"/>
        <v>1052.511</v>
      </c>
      <c r="J35" s="139">
        <v>199</v>
      </c>
      <c r="K35" s="139">
        <v>159</v>
      </c>
      <c r="L35" s="12" t="s">
        <v>179</v>
      </c>
      <c r="M35" s="5" t="s">
        <v>180</v>
      </c>
      <c r="N35" s="5">
        <v>24</v>
      </c>
      <c r="O35" s="5" t="s">
        <v>181</v>
      </c>
      <c r="P35" s="5" t="s">
        <v>180</v>
      </c>
      <c r="Q35" s="5" t="s">
        <v>30</v>
      </c>
      <c r="R35" s="5" t="s">
        <v>31</v>
      </c>
      <c r="S35" s="119" t="s">
        <v>182</v>
      </c>
      <c r="T35" s="8" t="s">
        <v>183</v>
      </c>
      <c r="U35" s="8" t="s">
        <v>184</v>
      </c>
      <c r="V35" s="8" t="s">
        <v>185</v>
      </c>
      <c r="W35" s="10" t="s">
        <v>186</v>
      </c>
      <c r="X35" s="119">
        <v>5744003720163</v>
      </c>
      <c r="Y35" s="157" t="s">
        <v>967</v>
      </c>
    </row>
    <row r="36" spans="1:25" ht="39.75" customHeight="1" x14ac:dyDescent="0.4">
      <c r="A36" s="1">
        <v>38981089</v>
      </c>
      <c r="B36" s="36" t="s">
        <v>187</v>
      </c>
      <c r="C36" s="3" t="s">
        <v>30</v>
      </c>
      <c r="D36" s="4" t="s">
        <v>188</v>
      </c>
      <c r="E36" s="155">
        <f t="shared" si="4"/>
        <v>1371.7</v>
      </c>
      <c r="F36" s="155">
        <f t="shared" si="0"/>
        <v>1687.191</v>
      </c>
      <c r="G36" s="139">
        <v>319</v>
      </c>
      <c r="H36" s="155">
        <f t="shared" si="2"/>
        <v>855.69999999999993</v>
      </c>
      <c r="I36" s="155">
        <f t="shared" si="3"/>
        <v>1052.511</v>
      </c>
      <c r="J36" s="139">
        <v>199</v>
      </c>
      <c r="K36" s="139">
        <v>149</v>
      </c>
      <c r="L36" s="12" t="s">
        <v>189</v>
      </c>
      <c r="M36" s="5" t="s">
        <v>190</v>
      </c>
      <c r="N36" s="5">
        <v>12</v>
      </c>
      <c r="O36" s="5" t="s">
        <v>191</v>
      </c>
      <c r="P36" s="5" t="s">
        <v>190</v>
      </c>
      <c r="Q36" s="5" t="s">
        <v>30</v>
      </c>
      <c r="R36" s="5" t="s">
        <v>31</v>
      </c>
      <c r="S36" s="119" t="s">
        <v>192</v>
      </c>
      <c r="T36" s="8" t="s">
        <v>193</v>
      </c>
      <c r="U36" s="8" t="s">
        <v>194</v>
      </c>
      <c r="V36" s="8" t="s">
        <v>195</v>
      </c>
      <c r="W36" s="10" t="s">
        <v>196</v>
      </c>
      <c r="X36" s="119">
        <v>5744003721092</v>
      </c>
      <c r="Y36" s="157" t="s">
        <v>967</v>
      </c>
    </row>
    <row r="37" spans="1:25" ht="39.75" customHeight="1" x14ac:dyDescent="0.4">
      <c r="A37" s="1">
        <v>38981097</v>
      </c>
      <c r="B37" s="2" t="s">
        <v>197</v>
      </c>
      <c r="C37" s="3" t="s">
        <v>30</v>
      </c>
      <c r="D37" s="4" t="s">
        <v>198</v>
      </c>
      <c r="E37" s="155">
        <f t="shared" si="4"/>
        <v>1543.7</v>
      </c>
      <c r="F37" s="155">
        <f t="shared" si="0"/>
        <v>1898.751</v>
      </c>
      <c r="G37" s="139">
        <v>359</v>
      </c>
      <c r="H37" s="155">
        <f t="shared" si="2"/>
        <v>1070.7</v>
      </c>
      <c r="I37" s="155">
        <f t="shared" si="3"/>
        <v>1316.961</v>
      </c>
      <c r="J37" s="139">
        <v>249</v>
      </c>
      <c r="K37" s="139">
        <v>189</v>
      </c>
      <c r="L37" s="12" t="s">
        <v>199</v>
      </c>
      <c r="M37" s="5" t="s">
        <v>200</v>
      </c>
      <c r="N37" s="5">
        <v>30</v>
      </c>
      <c r="O37" s="5" t="s">
        <v>201</v>
      </c>
      <c r="P37" s="5" t="s">
        <v>200</v>
      </c>
      <c r="Q37" s="5" t="s">
        <v>30</v>
      </c>
      <c r="R37" s="5" t="s">
        <v>31</v>
      </c>
      <c r="S37" s="119" t="s">
        <v>131</v>
      </c>
      <c r="T37" s="8" t="s">
        <v>202</v>
      </c>
      <c r="U37" s="8" t="s">
        <v>203</v>
      </c>
      <c r="V37" s="8" t="s">
        <v>204</v>
      </c>
      <c r="W37" s="10" t="s">
        <v>205</v>
      </c>
      <c r="X37" s="119">
        <v>5744003720149</v>
      </c>
      <c r="Y37" s="157" t="s">
        <v>967</v>
      </c>
    </row>
    <row r="38" spans="1:25" ht="39.75" customHeight="1" x14ac:dyDescent="0.4">
      <c r="A38" s="1">
        <v>38983899</v>
      </c>
      <c r="B38" s="2" t="s">
        <v>206</v>
      </c>
      <c r="C38" s="3" t="s">
        <v>30</v>
      </c>
      <c r="D38" s="37" t="s">
        <v>24</v>
      </c>
      <c r="E38" s="155">
        <f t="shared" si="4"/>
        <v>898.69999999999993</v>
      </c>
      <c r="F38" s="155">
        <f t="shared" si="0"/>
        <v>1105.4009999999998</v>
      </c>
      <c r="G38" s="142">
        <v>209</v>
      </c>
      <c r="H38" s="155">
        <f t="shared" si="2"/>
        <v>743.9</v>
      </c>
      <c r="I38" s="155">
        <f t="shared" si="3"/>
        <v>914.99699999999996</v>
      </c>
      <c r="J38" s="142">
        <v>173</v>
      </c>
      <c r="K38" s="142">
        <v>130</v>
      </c>
      <c r="L38" s="31" t="s">
        <v>207</v>
      </c>
      <c r="M38" s="5" t="s">
        <v>208</v>
      </c>
      <c r="N38" s="5">
        <v>5</v>
      </c>
      <c r="O38" s="5" t="s">
        <v>209</v>
      </c>
      <c r="P38" s="5" t="s">
        <v>208</v>
      </c>
      <c r="Q38" s="5" t="s">
        <v>30</v>
      </c>
      <c r="R38" s="5" t="s">
        <v>31</v>
      </c>
      <c r="S38" s="120" t="s">
        <v>131</v>
      </c>
      <c r="T38" s="32" t="s">
        <v>210</v>
      </c>
      <c r="U38" s="32" t="s">
        <v>211</v>
      </c>
      <c r="V38" s="32" t="s">
        <v>212</v>
      </c>
      <c r="W38" s="29" t="s">
        <v>213</v>
      </c>
      <c r="X38" s="120">
        <v>5744003721566</v>
      </c>
      <c r="Y38" s="157" t="s">
        <v>967</v>
      </c>
    </row>
    <row r="39" spans="1:25" ht="39.75" customHeight="1" x14ac:dyDescent="0.4">
      <c r="A39" s="1">
        <v>38969799</v>
      </c>
      <c r="B39" s="2" t="s">
        <v>214</v>
      </c>
      <c r="C39" s="3" t="s">
        <v>30</v>
      </c>
      <c r="D39" s="4" t="s">
        <v>214</v>
      </c>
      <c r="E39" s="155">
        <f t="shared" si="4"/>
        <v>430</v>
      </c>
      <c r="F39" s="155">
        <f t="shared" si="0"/>
        <v>528.9</v>
      </c>
      <c r="G39" s="139">
        <v>100</v>
      </c>
      <c r="H39" s="155">
        <f t="shared" si="2"/>
        <v>344</v>
      </c>
      <c r="I39" s="155">
        <f t="shared" si="3"/>
        <v>423.12</v>
      </c>
      <c r="J39" s="139">
        <v>80</v>
      </c>
      <c r="K39" s="139">
        <v>60</v>
      </c>
      <c r="L39" s="12" t="s">
        <v>215</v>
      </c>
      <c r="M39" s="5" t="s">
        <v>216</v>
      </c>
      <c r="N39" s="5">
        <v>4</v>
      </c>
      <c r="O39" s="5" t="s">
        <v>217</v>
      </c>
      <c r="P39" s="5" t="s">
        <v>216</v>
      </c>
      <c r="Q39" s="5" t="s">
        <v>30</v>
      </c>
      <c r="R39" s="5" t="s">
        <v>31</v>
      </c>
      <c r="S39" s="132">
        <v>7606123000</v>
      </c>
      <c r="T39" s="8" t="s">
        <v>218</v>
      </c>
      <c r="U39" s="8" t="s">
        <v>219</v>
      </c>
      <c r="V39" s="8" t="s">
        <v>220</v>
      </c>
      <c r="W39" s="10" t="s">
        <v>221</v>
      </c>
      <c r="X39" s="120">
        <v>5744003720101</v>
      </c>
      <c r="Y39" s="157" t="s">
        <v>967</v>
      </c>
    </row>
    <row r="40" spans="1:25" ht="39.75" customHeight="1" x14ac:dyDescent="0.4">
      <c r="A40" s="22">
        <v>38980299</v>
      </c>
      <c r="B40" s="2" t="s">
        <v>222</v>
      </c>
      <c r="C40" s="3" t="s">
        <v>961</v>
      </c>
      <c r="D40" s="4" t="s">
        <v>223</v>
      </c>
      <c r="E40" s="155">
        <f t="shared" si="4"/>
        <v>769.69999999999993</v>
      </c>
      <c r="F40" s="155">
        <f t="shared" si="0"/>
        <v>946.73099999999988</v>
      </c>
      <c r="G40" s="139">
        <v>179</v>
      </c>
      <c r="H40" s="155">
        <f t="shared" si="2"/>
        <v>554.69999999999993</v>
      </c>
      <c r="I40" s="155">
        <f t="shared" si="3"/>
        <v>682.28099999999995</v>
      </c>
      <c r="J40" s="139">
        <v>129</v>
      </c>
      <c r="K40" s="139">
        <v>99</v>
      </c>
      <c r="L40" s="12" t="s">
        <v>224</v>
      </c>
      <c r="M40" s="5" t="s">
        <v>225</v>
      </c>
      <c r="N40" s="5">
        <v>16</v>
      </c>
      <c r="O40" s="5" t="s">
        <v>226</v>
      </c>
      <c r="P40" s="5" t="s">
        <v>225</v>
      </c>
      <c r="Q40" s="5" t="s">
        <v>30</v>
      </c>
      <c r="R40" s="5" t="s">
        <v>31</v>
      </c>
      <c r="S40" s="119" t="s">
        <v>131</v>
      </c>
      <c r="T40" s="38" t="s">
        <v>227</v>
      </c>
      <c r="U40" s="8" t="s">
        <v>228</v>
      </c>
      <c r="V40" s="8" t="s">
        <v>229</v>
      </c>
      <c r="W40" s="10" t="s">
        <v>230</v>
      </c>
      <c r="X40" s="120">
        <v>5744003720040</v>
      </c>
      <c r="Y40" s="157" t="s">
        <v>967</v>
      </c>
    </row>
    <row r="41" spans="1:25" ht="39.75" customHeight="1" x14ac:dyDescent="0.4">
      <c r="A41" s="22">
        <v>38980296</v>
      </c>
      <c r="B41" s="2" t="s">
        <v>231</v>
      </c>
      <c r="C41" s="3" t="s">
        <v>962</v>
      </c>
      <c r="D41" s="4" t="s">
        <v>223</v>
      </c>
      <c r="E41" s="155">
        <f t="shared" si="4"/>
        <v>769.69999999999993</v>
      </c>
      <c r="F41" s="155">
        <f t="shared" si="0"/>
        <v>946.73099999999988</v>
      </c>
      <c r="G41" s="139">
        <v>179</v>
      </c>
      <c r="H41" s="155">
        <f t="shared" si="2"/>
        <v>554.69999999999993</v>
      </c>
      <c r="I41" s="155">
        <f t="shared" si="3"/>
        <v>682.28099999999995</v>
      </c>
      <c r="J41" s="139">
        <v>129</v>
      </c>
      <c r="K41" s="139">
        <v>99</v>
      </c>
      <c r="L41" s="12" t="s">
        <v>224</v>
      </c>
      <c r="M41" s="5" t="s">
        <v>225</v>
      </c>
      <c r="N41" s="5">
        <v>16</v>
      </c>
      <c r="O41" s="5" t="s">
        <v>226</v>
      </c>
      <c r="P41" s="5" t="s">
        <v>225</v>
      </c>
      <c r="Q41" s="5" t="s">
        <v>30</v>
      </c>
      <c r="R41" s="5" t="s">
        <v>31</v>
      </c>
      <c r="S41" s="119" t="s">
        <v>131</v>
      </c>
      <c r="T41" s="38" t="s">
        <v>227</v>
      </c>
      <c r="U41" s="8" t="s">
        <v>228</v>
      </c>
      <c r="V41" s="8" t="s">
        <v>229</v>
      </c>
      <c r="W41" s="10" t="s">
        <v>230</v>
      </c>
      <c r="X41" s="120">
        <v>5744003720064</v>
      </c>
      <c r="Y41" s="157" t="s">
        <v>967</v>
      </c>
    </row>
    <row r="42" spans="1:25" ht="39.75" customHeight="1" x14ac:dyDescent="0.4">
      <c r="A42" s="22">
        <v>38980298</v>
      </c>
      <c r="B42" s="2" t="s">
        <v>232</v>
      </c>
      <c r="C42" s="3" t="s">
        <v>963</v>
      </c>
      <c r="D42" s="4" t="s">
        <v>223</v>
      </c>
      <c r="E42" s="155">
        <f t="shared" si="4"/>
        <v>688</v>
      </c>
      <c r="F42" s="155">
        <f t="shared" si="0"/>
        <v>846.24</v>
      </c>
      <c r="G42" s="139">
        <v>160</v>
      </c>
      <c r="H42" s="155">
        <f t="shared" si="2"/>
        <v>511.7</v>
      </c>
      <c r="I42" s="155">
        <f t="shared" si="3"/>
        <v>629.39099999999996</v>
      </c>
      <c r="J42" s="139">
        <v>119</v>
      </c>
      <c r="K42" s="139">
        <v>90</v>
      </c>
      <c r="L42" s="12" t="s">
        <v>224</v>
      </c>
      <c r="M42" s="5" t="s">
        <v>233</v>
      </c>
      <c r="N42" s="5">
        <v>13</v>
      </c>
      <c r="O42" s="5" t="s">
        <v>234</v>
      </c>
      <c r="P42" s="5" t="s">
        <v>235</v>
      </c>
      <c r="Q42" s="5" t="s">
        <v>30</v>
      </c>
      <c r="R42" s="5" t="s">
        <v>31</v>
      </c>
      <c r="S42" s="119" t="s">
        <v>131</v>
      </c>
      <c r="T42" s="38" t="s">
        <v>227</v>
      </c>
      <c r="U42" s="8" t="s">
        <v>228</v>
      </c>
      <c r="V42" s="8" t="s">
        <v>229</v>
      </c>
      <c r="W42" s="10" t="s">
        <v>230</v>
      </c>
      <c r="X42" s="122">
        <v>5744003720057</v>
      </c>
      <c r="Y42" s="157" t="s">
        <v>967</v>
      </c>
    </row>
    <row r="43" spans="1:25" ht="39.75" customHeight="1" x14ac:dyDescent="0.4">
      <c r="A43" s="22">
        <v>38980295</v>
      </c>
      <c r="B43" s="2" t="s">
        <v>236</v>
      </c>
      <c r="C43" s="3" t="s">
        <v>964</v>
      </c>
      <c r="D43" s="9" t="s">
        <v>223</v>
      </c>
      <c r="E43" s="155">
        <f t="shared" si="4"/>
        <v>688</v>
      </c>
      <c r="F43" s="155">
        <f t="shared" si="0"/>
        <v>846.24</v>
      </c>
      <c r="G43" s="140">
        <v>160</v>
      </c>
      <c r="H43" s="155">
        <f t="shared" si="2"/>
        <v>511.7</v>
      </c>
      <c r="I43" s="155">
        <f t="shared" si="3"/>
        <v>629.39099999999996</v>
      </c>
      <c r="J43" s="140">
        <v>119</v>
      </c>
      <c r="K43" s="140">
        <v>90</v>
      </c>
      <c r="L43" s="12" t="s">
        <v>224</v>
      </c>
      <c r="M43" s="5" t="s">
        <v>233</v>
      </c>
      <c r="N43" s="5">
        <v>13</v>
      </c>
      <c r="O43" s="5" t="s">
        <v>234</v>
      </c>
      <c r="P43" s="5" t="s">
        <v>235</v>
      </c>
      <c r="Q43" s="5" t="s">
        <v>30</v>
      </c>
      <c r="R43" s="5" t="s">
        <v>31</v>
      </c>
      <c r="S43" s="119" t="s">
        <v>131</v>
      </c>
      <c r="T43" s="38" t="s">
        <v>227</v>
      </c>
      <c r="U43" s="8" t="s">
        <v>228</v>
      </c>
      <c r="V43" s="8" t="s">
        <v>229</v>
      </c>
      <c r="W43" s="10" t="s">
        <v>230</v>
      </c>
      <c r="X43" s="120">
        <v>5744003720071</v>
      </c>
      <c r="Y43" s="157" t="s">
        <v>967</v>
      </c>
    </row>
    <row r="44" spans="1:25" ht="39.75" customHeight="1" x14ac:dyDescent="0.4">
      <c r="A44" s="1">
        <v>38969998</v>
      </c>
      <c r="B44" s="2" t="s">
        <v>237</v>
      </c>
      <c r="C44" s="3" t="s">
        <v>30</v>
      </c>
      <c r="D44" s="4" t="s">
        <v>237</v>
      </c>
      <c r="E44" s="155">
        <f t="shared" si="4"/>
        <v>769.69999999999993</v>
      </c>
      <c r="F44" s="155">
        <f t="shared" si="0"/>
        <v>946.73099999999988</v>
      </c>
      <c r="G44" s="139">
        <v>179</v>
      </c>
      <c r="H44" s="155">
        <f t="shared" si="2"/>
        <v>554.69999999999993</v>
      </c>
      <c r="I44" s="155">
        <f t="shared" si="3"/>
        <v>682.28099999999995</v>
      </c>
      <c r="J44" s="139">
        <v>129</v>
      </c>
      <c r="K44" s="139">
        <v>97</v>
      </c>
      <c r="L44" s="12" t="s">
        <v>238</v>
      </c>
      <c r="M44" s="5" t="s">
        <v>239</v>
      </c>
      <c r="N44" s="5">
        <v>8</v>
      </c>
      <c r="O44" s="5" t="s">
        <v>240</v>
      </c>
      <c r="P44" s="5" t="s">
        <v>239</v>
      </c>
      <c r="Q44" s="5" t="s">
        <v>30</v>
      </c>
      <c r="R44" s="5" t="s">
        <v>31</v>
      </c>
      <c r="S44" s="119">
        <v>7606123000</v>
      </c>
      <c r="T44" s="8" t="s">
        <v>241</v>
      </c>
      <c r="U44" s="8" t="s">
        <v>242</v>
      </c>
      <c r="V44" s="8" t="s">
        <v>243</v>
      </c>
      <c r="W44" s="10" t="s">
        <v>244</v>
      </c>
      <c r="X44" s="120">
        <v>5744003720095</v>
      </c>
      <c r="Y44" s="157" t="s">
        <v>967</v>
      </c>
    </row>
    <row r="45" spans="1:25" ht="39.75" customHeight="1" x14ac:dyDescent="0.4">
      <c r="A45" s="1">
        <v>38874299</v>
      </c>
      <c r="B45" s="2" t="s">
        <v>245</v>
      </c>
      <c r="C45" s="3" t="s">
        <v>30</v>
      </c>
      <c r="D45" s="37" t="s">
        <v>24</v>
      </c>
      <c r="E45" s="155">
        <f t="shared" si="4"/>
        <v>279.5</v>
      </c>
      <c r="F45" s="155">
        <f t="shared" si="0"/>
        <v>343.78499999999997</v>
      </c>
      <c r="G45" s="142">
        <v>65</v>
      </c>
      <c r="H45" s="155">
        <f t="shared" si="2"/>
        <v>206.39999999999998</v>
      </c>
      <c r="I45" s="155">
        <f t="shared" si="3"/>
        <v>253.87199999999996</v>
      </c>
      <c r="J45" s="142">
        <v>48</v>
      </c>
      <c r="K45" s="142">
        <v>36</v>
      </c>
      <c r="L45" s="12" t="s">
        <v>246</v>
      </c>
      <c r="M45" s="6" t="s">
        <v>247</v>
      </c>
      <c r="N45" s="6">
        <v>5</v>
      </c>
      <c r="O45" s="6" t="s">
        <v>248</v>
      </c>
      <c r="P45" s="6" t="s">
        <v>247</v>
      </c>
      <c r="Q45" s="39" t="s">
        <v>30</v>
      </c>
      <c r="R45" s="5" t="s">
        <v>31</v>
      </c>
      <c r="S45" s="119" t="s">
        <v>131</v>
      </c>
      <c r="T45" s="32" t="s">
        <v>249</v>
      </c>
      <c r="U45" s="32" t="s">
        <v>250</v>
      </c>
      <c r="V45" s="33" t="s">
        <v>251</v>
      </c>
      <c r="W45" s="29" t="s">
        <v>252</v>
      </c>
      <c r="X45" s="121">
        <v>5744003721320</v>
      </c>
      <c r="Y45" s="157" t="s">
        <v>967</v>
      </c>
    </row>
    <row r="46" spans="1:25" ht="39.75" customHeight="1" x14ac:dyDescent="0.4">
      <c r="A46" s="1">
        <v>39969972</v>
      </c>
      <c r="B46" s="2" t="s">
        <v>253</v>
      </c>
      <c r="C46" s="3" t="s">
        <v>938</v>
      </c>
      <c r="D46" s="4" t="s">
        <v>254</v>
      </c>
      <c r="E46" s="155">
        <f t="shared" si="4"/>
        <v>52.923076923076913</v>
      </c>
      <c r="F46" s="155">
        <f t="shared" si="0"/>
        <v>65.095384615384603</v>
      </c>
      <c r="G46" s="139">
        <f>J46/0.65</f>
        <v>12.307692307692307</v>
      </c>
      <c r="H46" s="155">
        <f t="shared" si="2"/>
        <v>34.4</v>
      </c>
      <c r="I46" s="155">
        <f t="shared" si="3"/>
        <v>42.311999999999998</v>
      </c>
      <c r="J46" s="139">
        <v>8</v>
      </c>
      <c r="K46" s="139">
        <v>5</v>
      </c>
      <c r="L46" s="6" t="s">
        <v>255</v>
      </c>
      <c r="M46" s="5" t="s">
        <v>256</v>
      </c>
      <c r="N46" s="5">
        <v>0.2</v>
      </c>
      <c r="O46" s="5" t="s">
        <v>257</v>
      </c>
      <c r="P46" s="5" t="s">
        <v>258</v>
      </c>
      <c r="Q46" s="5" t="s">
        <v>259</v>
      </c>
      <c r="R46" s="5" t="s">
        <v>260</v>
      </c>
      <c r="S46" s="129">
        <v>8208400000</v>
      </c>
      <c r="T46" s="8" t="s">
        <v>261</v>
      </c>
      <c r="U46" s="8" t="s">
        <v>262</v>
      </c>
      <c r="V46" s="8" t="s">
        <v>263</v>
      </c>
      <c r="W46" s="10" t="s">
        <v>264</v>
      </c>
      <c r="X46" s="119">
        <v>5744003720576</v>
      </c>
      <c r="Y46" s="157" t="s">
        <v>968</v>
      </c>
    </row>
    <row r="47" spans="1:25" ht="39.75" customHeight="1" x14ac:dyDescent="0.4">
      <c r="A47" s="1">
        <v>39969975</v>
      </c>
      <c r="B47" s="2" t="s">
        <v>265</v>
      </c>
      <c r="C47" s="3" t="s">
        <v>939</v>
      </c>
      <c r="D47" s="4" t="s">
        <v>266</v>
      </c>
      <c r="E47" s="155">
        <f t="shared" si="4"/>
        <v>1223.8461538461536</v>
      </c>
      <c r="F47" s="155">
        <f t="shared" si="0"/>
        <v>1505.330769230769</v>
      </c>
      <c r="G47" s="139">
        <f t="shared" ref="G47:G85" si="7">J47/0.65</f>
        <v>284.61538461538458</v>
      </c>
      <c r="H47" s="155">
        <f t="shared" si="2"/>
        <v>795.5</v>
      </c>
      <c r="I47" s="155">
        <f t="shared" si="3"/>
        <v>978.46500000000003</v>
      </c>
      <c r="J47" s="139">
        <v>185</v>
      </c>
      <c r="K47" s="139">
        <v>150</v>
      </c>
      <c r="L47" s="6" t="s">
        <v>255</v>
      </c>
      <c r="M47" s="5" t="s">
        <v>267</v>
      </c>
      <c r="N47" s="5">
        <v>5.0999999999999996</v>
      </c>
      <c r="O47" s="5" t="s">
        <v>268</v>
      </c>
      <c r="P47" s="5" t="s">
        <v>269</v>
      </c>
      <c r="Q47" s="5" t="s">
        <v>270</v>
      </c>
      <c r="R47" s="5" t="s">
        <v>260</v>
      </c>
      <c r="S47" s="129">
        <v>8208400000</v>
      </c>
      <c r="T47" s="8" t="s">
        <v>261</v>
      </c>
      <c r="U47" s="8" t="s">
        <v>262</v>
      </c>
      <c r="V47" s="8" t="s">
        <v>263</v>
      </c>
      <c r="W47" s="10" t="s">
        <v>264</v>
      </c>
      <c r="X47" s="119">
        <v>5744003720583</v>
      </c>
      <c r="Y47" s="157" t="s">
        <v>968</v>
      </c>
    </row>
    <row r="48" spans="1:25" ht="39.75" customHeight="1" x14ac:dyDescent="0.4">
      <c r="A48" s="1">
        <v>39963071</v>
      </c>
      <c r="B48" s="2" t="s">
        <v>271</v>
      </c>
      <c r="C48" s="3" t="s">
        <v>940</v>
      </c>
      <c r="D48" s="4" t="s">
        <v>272</v>
      </c>
      <c r="E48" s="155">
        <f t="shared" si="4"/>
        <v>72.769230769230774</v>
      </c>
      <c r="F48" s="155">
        <f t="shared" si="0"/>
        <v>89.50615384615385</v>
      </c>
      <c r="G48" s="139">
        <f t="shared" si="7"/>
        <v>16.923076923076923</v>
      </c>
      <c r="H48" s="155">
        <f t="shared" si="2"/>
        <v>47.3</v>
      </c>
      <c r="I48" s="155">
        <f t="shared" si="3"/>
        <v>58.178999999999995</v>
      </c>
      <c r="J48" s="139">
        <v>11</v>
      </c>
      <c r="K48" s="139">
        <v>8</v>
      </c>
      <c r="L48" s="6" t="s">
        <v>273</v>
      </c>
      <c r="M48" s="15" t="s">
        <v>24</v>
      </c>
      <c r="N48" s="5">
        <v>0.14199999999999999</v>
      </c>
      <c r="O48" s="15" t="s">
        <v>24</v>
      </c>
      <c r="P48" s="15" t="s">
        <v>24</v>
      </c>
      <c r="Q48" s="15" t="s">
        <v>24</v>
      </c>
      <c r="R48" s="5" t="s">
        <v>260</v>
      </c>
      <c r="S48" s="129">
        <v>8208400000</v>
      </c>
      <c r="T48" s="8" t="s">
        <v>274</v>
      </c>
      <c r="U48" s="8" t="s">
        <v>262</v>
      </c>
      <c r="V48" s="8" t="s">
        <v>275</v>
      </c>
      <c r="W48" s="10" t="s">
        <v>264</v>
      </c>
      <c r="X48" s="119">
        <v>5744003721672</v>
      </c>
      <c r="Y48" s="157" t="s">
        <v>968</v>
      </c>
    </row>
    <row r="49" spans="1:25" ht="39.75" customHeight="1" x14ac:dyDescent="0.4">
      <c r="A49" s="1">
        <v>39963098</v>
      </c>
      <c r="B49" s="2" t="s">
        <v>276</v>
      </c>
      <c r="C49" s="3" t="s">
        <v>941</v>
      </c>
      <c r="D49" s="4" t="s">
        <v>272</v>
      </c>
      <c r="E49" s="155">
        <f t="shared" si="4"/>
        <v>211.69230769230765</v>
      </c>
      <c r="F49" s="155">
        <f t="shared" si="0"/>
        <v>260.38153846153841</v>
      </c>
      <c r="G49" s="139">
        <f t="shared" si="7"/>
        <v>49.230769230769226</v>
      </c>
      <c r="H49" s="155">
        <f t="shared" si="2"/>
        <v>137.6</v>
      </c>
      <c r="I49" s="155">
        <f t="shared" si="3"/>
        <v>169.24799999999999</v>
      </c>
      <c r="J49" s="139">
        <v>32</v>
      </c>
      <c r="K49" s="139">
        <v>22</v>
      </c>
      <c r="L49" s="6" t="s">
        <v>273</v>
      </c>
      <c r="M49" s="15" t="s">
        <v>24</v>
      </c>
      <c r="N49" s="5">
        <v>0.312</v>
      </c>
      <c r="O49" s="15" t="s">
        <v>24</v>
      </c>
      <c r="P49" s="15" t="s">
        <v>24</v>
      </c>
      <c r="Q49" s="15" t="s">
        <v>24</v>
      </c>
      <c r="R49" s="5" t="s">
        <v>260</v>
      </c>
      <c r="S49" s="129">
        <v>8208400000</v>
      </c>
      <c r="T49" s="8" t="s">
        <v>274</v>
      </c>
      <c r="U49" s="8" t="s">
        <v>262</v>
      </c>
      <c r="V49" s="8" t="s">
        <v>275</v>
      </c>
      <c r="W49" s="10" t="s">
        <v>264</v>
      </c>
      <c r="X49" s="119">
        <v>5744003721689</v>
      </c>
      <c r="Y49" s="157" t="s">
        <v>968</v>
      </c>
    </row>
    <row r="50" spans="1:25" ht="39.75" customHeight="1" x14ac:dyDescent="0.4">
      <c r="A50" s="1">
        <v>34509727</v>
      </c>
      <c r="B50" s="2" t="s">
        <v>277</v>
      </c>
      <c r="C50" s="3" t="s">
        <v>278</v>
      </c>
      <c r="D50" s="4" t="s">
        <v>279</v>
      </c>
      <c r="E50" s="155">
        <f t="shared" si="4"/>
        <v>72.769230769230774</v>
      </c>
      <c r="F50" s="155">
        <f t="shared" si="0"/>
        <v>89.50615384615385</v>
      </c>
      <c r="G50" s="139">
        <f t="shared" si="7"/>
        <v>16.923076923076923</v>
      </c>
      <c r="H50" s="155">
        <f t="shared" si="2"/>
        <v>47.3</v>
      </c>
      <c r="I50" s="155">
        <f t="shared" si="3"/>
        <v>58.178999999999995</v>
      </c>
      <c r="J50" s="139">
        <v>11</v>
      </c>
      <c r="K50" s="139">
        <v>8</v>
      </c>
      <c r="L50" s="12" t="s">
        <v>280</v>
      </c>
      <c r="M50" s="5" t="s">
        <v>281</v>
      </c>
      <c r="N50" s="5">
        <v>0.16</v>
      </c>
      <c r="O50" s="5" t="s">
        <v>282</v>
      </c>
      <c r="P50" s="5" t="s">
        <v>283</v>
      </c>
      <c r="Q50" s="5" t="s">
        <v>284</v>
      </c>
      <c r="R50" s="5" t="s">
        <v>285</v>
      </c>
      <c r="S50" s="129">
        <v>8208400000</v>
      </c>
      <c r="T50" s="8" t="s">
        <v>286</v>
      </c>
      <c r="U50" s="40" t="s">
        <v>24</v>
      </c>
      <c r="V50" s="8" t="s">
        <v>287</v>
      </c>
      <c r="W50" s="10" t="s">
        <v>288</v>
      </c>
      <c r="X50" s="119">
        <v>5744003720545</v>
      </c>
      <c r="Y50" s="157" t="s">
        <v>968</v>
      </c>
    </row>
    <row r="51" spans="1:25" ht="39.75" customHeight="1" x14ac:dyDescent="0.4">
      <c r="A51" s="1">
        <v>34899783</v>
      </c>
      <c r="B51" s="2" t="s">
        <v>289</v>
      </c>
      <c r="C51" s="3" t="s">
        <v>278</v>
      </c>
      <c r="D51" s="4" t="s">
        <v>279</v>
      </c>
      <c r="E51" s="155">
        <f t="shared" si="4"/>
        <v>99.230769230769226</v>
      </c>
      <c r="F51" s="155">
        <f t="shared" si="0"/>
        <v>122.05384615384615</v>
      </c>
      <c r="G51" s="139">
        <f t="shared" si="7"/>
        <v>23.076923076923077</v>
      </c>
      <c r="H51" s="155">
        <f t="shared" si="2"/>
        <v>64.5</v>
      </c>
      <c r="I51" s="155">
        <f t="shared" si="3"/>
        <v>79.334999999999994</v>
      </c>
      <c r="J51" s="139">
        <v>15</v>
      </c>
      <c r="K51" s="139">
        <v>11</v>
      </c>
      <c r="L51" s="12" t="s">
        <v>290</v>
      </c>
      <c r="M51" s="5" t="s">
        <v>281</v>
      </c>
      <c r="N51" s="5">
        <v>0.20749999999999999</v>
      </c>
      <c r="O51" s="5" t="s">
        <v>291</v>
      </c>
      <c r="P51" s="5" t="s">
        <v>292</v>
      </c>
      <c r="Q51" s="5" t="s">
        <v>284</v>
      </c>
      <c r="R51" s="5" t="s">
        <v>285</v>
      </c>
      <c r="S51" s="129">
        <v>8208400000</v>
      </c>
      <c r="T51" s="8" t="s">
        <v>293</v>
      </c>
      <c r="U51" s="40" t="s">
        <v>24</v>
      </c>
      <c r="V51" s="8" t="s">
        <v>294</v>
      </c>
      <c r="W51" s="10" t="s">
        <v>295</v>
      </c>
      <c r="X51" s="119">
        <v>5744003721535</v>
      </c>
      <c r="Y51" s="157" t="s">
        <v>968</v>
      </c>
    </row>
    <row r="52" spans="1:25" ht="39.75" customHeight="1" x14ac:dyDescent="0.4">
      <c r="A52" s="1">
        <v>34509781</v>
      </c>
      <c r="B52" s="2" t="s">
        <v>296</v>
      </c>
      <c r="C52" s="3" t="s">
        <v>278</v>
      </c>
      <c r="D52" s="4" t="s">
        <v>279</v>
      </c>
      <c r="E52" s="155">
        <f t="shared" si="4"/>
        <v>105.84615384615383</v>
      </c>
      <c r="F52" s="155">
        <f t="shared" si="0"/>
        <v>130.19076923076921</v>
      </c>
      <c r="G52" s="139">
        <f t="shared" si="7"/>
        <v>24.615384615384613</v>
      </c>
      <c r="H52" s="155">
        <f t="shared" si="2"/>
        <v>68.8</v>
      </c>
      <c r="I52" s="155">
        <f t="shared" si="3"/>
        <v>84.623999999999995</v>
      </c>
      <c r="J52" s="139">
        <v>16</v>
      </c>
      <c r="K52" s="139">
        <v>12</v>
      </c>
      <c r="L52" s="12" t="s">
        <v>297</v>
      </c>
      <c r="M52" s="5" t="s">
        <v>281</v>
      </c>
      <c r="N52" s="5">
        <v>0.35</v>
      </c>
      <c r="O52" s="5" t="s">
        <v>298</v>
      </c>
      <c r="P52" s="5" t="s">
        <v>299</v>
      </c>
      <c r="Q52" s="5" t="s">
        <v>300</v>
      </c>
      <c r="R52" s="5" t="s">
        <v>285</v>
      </c>
      <c r="S52" s="129">
        <v>8208400000</v>
      </c>
      <c r="T52" s="8" t="s">
        <v>301</v>
      </c>
      <c r="U52" s="40" t="s">
        <v>24</v>
      </c>
      <c r="V52" s="8" t="s">
        <v>302</v>
      </c>
      <c r="W52" s="10" t="s">
        <v>303</v>
      </c>
      <c r="X52" s="119">
        <v>5744003720514</v>
      </c>
      <c r="Y52" s="157" t="s">
        <v>968</v>
      </c>
    </row>
    <row r="53" spans="1:25" ht="39.75" customHeight="1" x14ac:dyDescent="0.4">
      <c r="A53" s="1">
        <v>34899725</v>
      </c>
      <c r="B53" s="2" t="s">
        <v>304</v>
      </c>
      <c r="C53" s="3" t="s">
        <v>278</v>
      </c>
      <c r="D53" s="4" t="s">
        <v>305</v>
      </c>
      <c r="E53" s="155">
        <f t="shared" si="4"/>
        <v>79.384615384615373</v>
      </c>
      <c r="F53" s="155">
        <f t="shared" si="0"/>
        <v>97.643076923076904</v>
      </c>
      <c r="G53" s="139">
        <f t="shared" si="7"/>
        <v>18.46153846153846</v>
      </c>
      <c r="H53" s="155">
        <f t="shared" si="2"/>
        <v>51.599999999999994</v>
      </c>
      <c r="I53" s="155">
        <f t="shared" si="3"/>
        <v>63.467999999999989</v>
      </c>
      <c r="J53" s="139">
        <v>12</v>
      </c>
      <c r="K53" s="139">
        <v>9</v>
      </c>
      <c r="L53" s="31" t="s">
        <v>306</v>
      </c>
      <c r="M53" s="5" t="s">
        <v>281</v>
      </c>
      <c r="N53" s="5">
        <v>0.105</v>
      </c>
      <c r="O53" s="5" t="s">
        <v>307</v>
      </c>
      <c r="P53" s="5" t="s">
        <v>308</v>
      </c>
      <c r="Q53" s="5" t="s">
        <v>284</v>
      </c>
      <c r="R53" s="5" t="s">
        <v>285</v>
      </c>
      <c r="S53" s="129">
        <v>8208400000</v>
      </c>
      <c r="T53" s="8" t="s">
        <v>309</v>
      </c>
      <c r="U53" s="40" t="s">
        <v>24</v>
      </c>
      <c r="V53" s="8" t="s">
        <v>310</v>
      </c>
      <c r="W53" s="10" t="s">
        <v>311</v>
      </c>
      <c r="X53" s="119">
        <v>5744003721542</v>
      </c>
      <c r="Y53" s="157" t="s">
        <v>968</v>
      </c>
    </row>
    <row r="54" spans="1:25" ht="39.75" customHeight="1" x14ac:dyDescent="0.4">
      <c r="A54" s="1">
        <v>34899727</v>
      </c>
      <c r="B54" s="2" t="s">
        <v>312</v>
      </c>
      <c r="C54" s="3" t="s">
        <v>278</v>
      </c>
      <c r="D54" s="4" t="s">
        <v>279</v>
      </c>
      <c r="E54" s="155">
        <f t="shared" si="4"/>
        <v>86</v>
      </c>
      <c r="F54" s="155">
        <f t="shared" si="0"/>
        <v>105.78</v>
      </c>
      <c r="G54" s="139">
        <f t="shared" si="7"/>
        <v>20</v>
      </c>
      <c r="H54" s="155">
        <f t="shared" si="2"/>
        <v>55.9</v>
      </c>
      <c r="I54" s="155">
        <f t="shared" si="3"/>
        <v>68.756999999999991</v>
      </c>
      <c r="J54" s="139">
        <v>13</v>
      </c>
      <c r="K54" s="139">
        <v>9</v>
      </c>
      <c r="L54" s="12" t="s">
        <v>280</v>
      </c>
      <c r="M54" s="5" t="s">
        <v>281</v>
      </c>
      <c r="N54" s="5">
        <v>0.24</v>
      </c>
      <c r="O54" s="5" t="s">
        <v>282</v>
      </c>
      <c r="P54" s="5" t="s">
        <v>313</v>
      </c>
      <c r="Q54" s="5" t="s">
        <v>300</v>
      </c>
      <c r="R54" s="5" t="s">
        <v>285</v>
      </c>
      <c r="S54" s="129">
        <v>8208400000</v>
      </c>
      <c r="T54" s="8" t="s">
        <v>286</v>
      </c>
      <c r="U54" s="40" t="s">
        <v>24</v>
      </c>
      <c r="V54" s="8" t="s">
        <v>287</v>
      </c>
      <c r="W54" s="41" t="s">
        <v>314</v>
      </c>
      <c r="X54" s="119">
        <v>5744003720552</v>
      </c>
      <c r="Y54" s="157" t="s">
        <v>968</v>
      </c>
    </row>
    <row r="55" spans="1:25" ht="39.75" customHeight="1" x14ac:dyDescent="0.4">
      <c r="A55" s="1">
        <v>34899782</v>
      </c>
      <c r="B55" s="2" t="s">
        <v>315</v>
      </c>
      <c r="C55" s="3" t="s">
        <v>278</v>
      </c>
      <c r="D55" s="4" t="s">
        <v>279</v>
      </c>
      <c r="E55" s="155">
        <f t="shared" si="4"/>
        <v>112.46153846153845</v>
      </c>
      <c r="F55" s="155">
        <f t="shared" si="0"/>
        <v>138.3276923076923</v>
      </c>
      <c r="G55" s="139">
        <f t="shared" si="7"/>
        <v>26.153846153846153</v>
      </c>
      <c r="H55" s="155">
        <f t="shared" si="2"/>
        <v>73.099999999999994</v>
      </c>
      <c r="I55" s="155">
        <f t="shared" si="3"/>
        <v>89.912999999999997</v>
      </c>
      <c r="J55" s="139">
        <v>17</v>
      </c>
      <c r="K55" s="139">
        <v>13</v>
      </c>
      <c r="L55" s="12" t="s">
        <v>316</v>
      </c>
      <c r="M55" s="5" t="s">
        <v>281</v>
      </c>
      <c r="N55" s="5">
        <v>0.28000000000000003</v>
      </c>
      <c r="O55" s="5" t="s">
        <v>291</v>
      </c>
      <c r="P55" s="5" t="s">
        <v>317</v>
      </c>
      <c r="Q55" s="5" t="s">
        <v>300</v>
      </c>
      <c r="R55" s="5" t="s">
        <v>285</v>
      </c>
      <c r="S55" s="129">
        <v>8208400000</v>
      </c>
      <c r="T55" s="8" t="s">
        <v>318</v>
      </c>
      <c r="U55" s="40" t="s">
        <v>24</v>
      </c>
      <c r="V55" s="8" t="s">
        <v>294</v>
      </c>
      <c r="W55" s="41" t="s">
        <v>319</v>
      </c>
      <c r="X55" s="119">
        <v>5744003720538</v>
      </c>
      <c r="Y55" s="157" t="s">
        <v>968</v>
      </c>
    </row>
    <row r="56" spans="1:25" ht="39.75" customHeight="1" x14ac:dyDescent="0.4">
      <c r="A56" s="1">
        <v>34899781</v>
      </c>
      <c r="B56" s="2" t="s">
        <v>320</v>
      </c>
      <c r="C56" s="3" t="s">
        <v>278</v>
      </c>
      <c r="D56" s="9" t="s">
        <v>279</v>
      </c>
      <c r="E56" s="155">
        <f t="shared" si="4"/>
        <v>138.92307692307691</v>
      </c>
      <c r="F56" s="155">
        <f t="shared" si="0"/>
        <v>170.8753846153846</v>
      </c>
      <c r="G56" s="139">
        <f t="shared" si="7"/>
        <v>32.307692307692307</v>
      </c>
      <c r="H56" s="155">
        <f t="shared" si="2"/>
        <v>90.3</v>
      </c>
      <c r="I56" s="155">
        <f t="shared" si="3"/>
        <v>111.06899999999999</v>
      </c>
      <c r="J56" s="140">
        <v>21</v>
      </c>
      <c r="K56" s="140">
        <v>15</v>
      </c>
      <c r="L56" s="12" t="s">
        <v>297</v>
      </c>
      <c r="M56" s="5" t="s">
        <v>281</v>
      </c>
      <c r="N56" s="5">
        <v>0.41</v>
      </c>
      <c r="O56" s="5" t="s">
        <v>298</v>
      </c>
      <c r="P56" s="5" t="s">
        <v>321</v>
      </c>
      <c r="Q56" s="5" t="s">
        <v>322</v>
      </c>
      <c r="R56" s="5" t="s">
        <v>285</v>
      </c>
      <c r="S56" s="129">
        <v>8208400000</v>
      </c>
      <c r="T56" s="8" t="s">
        <v>301</v>
      </c>
      <c r="U56" s="40" t="s">
        <v>24</v>
      </c>
      <c r="V56" s="8" t="s">
        <v>302</v>
      </c>
      <c r="W56" s="41" t="s">
        <v>323</v>
      </c>
      <c r="X56" s="119">
        <v>5744003720521</v>
      </c>
      <c r="Y56" s="157" t="s">
        <v>968</v>
      </c>
    </row>
    <row r="57" spans="1:25" ht="39.75" customHeight="1" x14ac:dyDescent="0.4">
      <c r="A57" s="1">
        <v>39999986</v>
      </c>
      <c r="B57" s="2" t="s">
        <v>324</v>
      </c>
      <c r="C57" s="3" t="s">
        <v>942</v>
      </c>
      <c r="D57" s="4" t="s">
        <v>325</v>
      </c>
      <c r="E57" s="155">
        <f t="shared" si="4"/>
        <v>119.07692307692307</v>
      </c>
      <c r="F57" s="155">
        <f t="shared" si="0"/>
        <v>146.46461538461537</v>
      </c>
      <c r="G57" s="139">
        <f t="shared" si="7"/>
        <v>27.69230769230769</v>
      </c>
      <c r="H57" s="155">
        <f t="shared" si="2"/>
        <v>77.399999999999991</v>
      </c>
      <c r="I57" s="155">
        <f t="shared" si="3"/>
        <v>95.201999999999984</v>
      </c>
      <c r="J57" s="139">
        <v>18</v>
      </c>
      <c r="K57" s="139">
        <v>13</v>
      </c>
      <c r="L57" s="6" t="s">
        <v>326</v>
      </c>
      <c r="M57" s="5" t="s">
        <v>256</v>
      </c>
      <c r="N57" s="5">
        <v>0.11</v>
      </c>
      <c r="O57" s="5" t="s">
        <v>327</v>
      </c>
      <c r="P57" s="5" t="s">
        <v>328</v>
      </c>
      <c r="Q57" s="5" t="s">
        <v>329</v>
      </c>
      <c r="R57" s="5" t="s">
        <v>330</v>
      </c>
      <c r="S57" s="129">
        <v>8208400000</v>
      </c>
      <c r="T57" s="8" t="s">
        <v>331</v>
      </c>
      <c r="U57" s="8" t="s">
        <v>332</v>
      </c>
      <c r="V57" s="8" t="s">
        <v>333</v>
      </c>
      <c r="W57" s="41" t="s">
        <v>334</v>
      </c>
      <c r="X57" s="119">
        <v>5744003720613</v>
      </c>
      <c r="Y57" s="157" t="s">
        <v>968</v>
      </c>
    </row>
    <row r="58" spans="1:25" ht="39.75" customHeight="1" x14ac:dyDescent="0.4">
      <c r="A58" s="1">
        <v>39999989</v>
      </c>
      <c r="B58" s="2" t="s">
        <v>335</v>
      </c>
      <c r="C58" s="3" t="s">
        <v>943</v>
      </c>
      <c r="D58" s="4" t="s">
        <v>325</v>
      </c>
      <c r="E58" s="155">
        <f t="shared" si="4"/>
        <v>396.92307692307691</v>
      </c>
      <c r="F58" s="155">
        <f t="shared" si="0"/>
        <v>488.21538461538461</v>
      </c>
      <c r="G58" s="139">
        <f t="shared" si="7"/>
        <v>92.307692307692307</v>
      </c>
      <c r="H58" s="155">
        <f t="shared" si="2"/>
        <v>258</v>
      </c>
      <c r="I58" s="155">
        <f t="shared" si="3"/>
        <v>317.33999999999997</v>
      </c>
      <c r="J58" s="139">
        <v>60</v>
      </c>
      <c r="K58" s="139">
        <v>45</v>
      </c>
      <c r="L58" s="6" t="s">
        <v>326</v>
      </c>
      <c r="M58" s="15" t="s">
        <v>24</v>
      </c>
      <c r="N58" s="5">
        <v>0.36</v>
      </c>
      <c r="O58" s="15" t="s">
        <v>24</v>
      </c>
      <c r="P58" s="15" t="s">
        <v>24</v>
      </c>
      <c r="Q58" s="15" t="s">
        <v>24</v>
      </c>
      <c r="R58" s="5" t="s">
        <v>330</v>
      </c>
      <c r="S58" s="129">
        <v>8208400000</v>
      </c>
      <c r="T58" s="8" t="s">
        <v>331</v>
      </c>
      <c r="U58" s="8" t="s">
        <v>332</v>
      </c>
      <c r="V58" s="8" t="s">
        <v>333</v>
      </c>
      <c r="W58" s="41" t="s">
        <v>334</v>
      </c>
      <c r="X58" s="119">
        <v>5744003721658</v>
      </c>
      <c r="Y58" s="157" t="s">
        <v>968</v>
      </c>
    </row>
    <row r="59" spans="1:25" ht="39.75" customHeight="1" x14ac:dyDescent="0.55000000000000004">
      <c r="A59" s="1">
        <v>39999972</v>
      </c>
      <c r="B59" s="2" t="s">
        <v>336</v>
      </c>
      <c r="C59" s="3" t="s">
        <v>938</v>
      </c>
      <c r="D59" s="4" t="s">
        <v>337</v>
      </c>
      <c r="E59" s="155">
        <f t="shared" si="4"/>
        <v>39.692307692307686</v>
      </c>
      <c r="F59" s="155">
        <f t="shared" si="0"/>
        <v>48.821538461538452</v>
      </c>
      <c r="G59" s="139">
        <f t="shared" si="7"/>
        <v>9.2307692307692299</v>
      </c>
      <c r="H59" s="155">
        <f t="shared" si="2"/>
        <v>25.799999999999997</v>
      </c>
      <c r="I59" s="155">
        <f t="shared" si="3"/>
        <v>31.733999999999995</v>
      </c>
      <c r="J59" s="139">
        <v>6</v>
      </c>
      <c r="K59" s="139">
        <v>4.5</v>
      </c>
      <c r="L59" s="42" t="s">
        <v>338</v>
      </c>
      <c r="M59" s="5" t="s">
        <v>256</v>
      </c>
      <c r="N59" s="5">
        <v>0.08</v>
      </c>
      <c r="O59" s="5" t="s">
        <v>339</v>
      </c>
      <c r="P59" s="5" t="s">
        <v>340</v>
      </c>
      <c r="Q59" s="5" t="s">
        <v>341</v>
      </c>
      <c r="R59" s="5" t="s">
        <v>330</v>
      </c>
      <c r="S59" s="129">
        <v>8208400000</v>
      </c>
      <c r="T59" s="8" t="s">
        <v>342</v>
      </c>
      <c r="U59" s="8" t="s">
        <v>332</v>
      </c>
      <c r="V59" s="8" t="s">
        <v>343</v>
      </c>
      <c r="W59" s="43" t="s">
        <v>344</v>
      </c>
      <c r="X59" s="119">
        <v>5744003720606</v>
      </c>
      <c r="Y59" s="157" t="s">
        <v>968</v>
      </c>
    </row>
    <row r="60" spans="1:25" ht="39.75" customHeight="1" x14ac:dyDescent="0.4">
      <c r="A60" s="1">
        <v>36733097</v>
      </c>
      <c r="B60" s="2" t="s">
        <v>345</v>
      </c>
      <c r="C60" s="3" t="s">
        <v>939</v>
      </c>
      <c r="D60" s="4" t="s">
        <v>346</v>
      </c>
      <c r="E60" s="155">
        <f t="shared" si="4"/>
        <v>853.38461538461536</v>
      </c>
      <c r="F60" s="155">
        <f t="shared" si="0"/>
        <v>1049.6630769230769</v>
      </c>
      <c r="G60" s="139">
        <f t="shared" si="7"/>
        <v>198.46153846153845</v>
      </c>
      <c r="H60" s="155">
        <f t="shared" si="2"/>
        <v>554.69999999999993</v>
      </c>
      <c r="I60" s="155">
        <f t="shared" si="3"/>
        <v>682.28099999999995</v>
      </c>
      <c r="J60" s="139">
        <v>129</v>
      </c>
      <c r="K60" s="139">
        <v>100</v>
      </c>
      <c r="L60" s="12" t="s">
        <v>347</v>
      </c>
      <c r="M60" s="5" t="s">
        <v>348</v>
      </c>
      <c r="N60" s="5">
        <v>1.7</v>
      </c>
      <c r="O60" s="5" t="s">
        <v>349</v>
      </c>
      <c r="P60" s="5" t="s">
        <v>269</v>
      </c>
      <c r="Q60" s="5" t="s">
        <v>350</v>
      </c>
      <c r="R60" s="5" t="s">
        <v>351</v>
      </c>
      <c r="S60" s="129">
        <v>8208400000</v>
      </c>
      <c r="T60" s="8" t="s">
        <v>352</v>
      </c>
      <c r="U60" s="38" t="s">
        <v>353</v>
      </c>
      <c r="V60" s="8" t="s">
        <v>354</v>
      </c>
      <c r="W60" s="10" t="s">
        <v>355</v>
      </c>
      <c r="X60" s="119">
        <v>5744003720453</v>
      </c>
      <c r="Y60" s="157" t="s">
        <v>968</v>
      </c>
    </row>
    <row r="61" spans="1:25" ht="39.75" customHeight="1" x14ac:dyDescent="0.4">
      <c r="A61" s="1">
        <v>36583094</v>
      </c>
      <c r="B61" s="2" t="s">
        <v>356</v>
      </c>
      <c r="C61" s="3" t="s">
        <v>938</v>
      </c>
      <c r="D61" s="4" t="s">
        <v>346</v>
      </c>
      <c r="E61" s="155">
        <f t="shared" si="4"/>
        <v>33.076923076923073</v>
      </c>
      <c r="F61" s="155">
        <f t="shared" si="0"/>
        <v>40.684615384615377</v>
      </c>
      <c r="G61" s="139">
        <f t="shared" si="7"/>
        <v>7.6923076923076916</v>
      </c>
      <c r="H61" s="155">
        <f t="shared" si="2"/>
        <v>21.5</v>
      </c>
      <c r="I61" s="155">
        <f t="shared" si="3"/>
        <v>26.445</v>
      </c>
      <c r="J61" s="139">
        <v>5</v>
      </c>
      <c r="K61" s="139">
        <v>3.5</v>
      </c>
      <c r="L61" s="12" t="s">
        <v>347</v>
      </c>
      <c r="M61" s="5" t="s">
        <v>256</v>
      </c>
      <c r="N61" s="5">
        <v>6.4000000000000001E-2</v>
      </c>
      <c r="O61" s="5" t="s">
        <v>349</v>
      </c>
      <c r="P61" s="5" t="s">
        <v>357</v>
      </c>
      <c r="Q61" s="5" t="s">
        <v>358</v>
      </c>
      <c r="R61" s="5" t="s">
        <v>351</v>
      </c>
      <c r="S61" s="129">
        <v>8208400000</v>
      </c>
      <c r="T61" s="8" t="s">
        <v>352</v>
      </c>
      <c r="U61" s="38" t="s">
        <v>353</v>
      </c>
      <c r="V61" s="8" t="s">
        <v>354</v>
      </c>
      <c r="W61" s="10" t="s">
        <v>355</v>
      </c>
      <c r="X61" s="119">
        <v>5744003720446</v>
      </c>
      <c r="Y61" s="157" t="s">
        <v>968</v>
      </c>
    </row>
    <row r="62" spans="1:25" ht="39.75" customHeight="1" x14ac:dyDescent="0.4">
      <c r="A62" s="1">
        <v>30014573</v>
      </c>
      <c r="B62" s="2" t="s">
        <v>359</v>
      </c>
      <c r="C62" s="3" t="s">
        <v>944</v>
      </c>
      <c r="D62" s="4" t="s">
        <v>360</v>
      </c>
      <c r="E62" s="155">
        <f t="shared" si="4"/>
        <v>33.076923076923073</v>
      </c>
      <c r="F62" s="155">
        <f t="shared" si="0"/>
        <v>40.684615384615377</v>
      </c>
      <c r="G62" s="139">
        <f t="shared" si="7"/>
        <v>7.6923076923076916</v>
      </c>
      <c r="H62" s="155">
        <f t="shared" si="2"/>
        <v>21.5</v>
      </c>
      <c r="I62" s="155">
        <f t="shared" si="3"/>
        <v>26.445</v>
      </c>
      <c r="J62" s="139">
        <v>5</v>
      </c>
      <c r="K62" s="139">
        <v>3.7</v>
      </c>
      <c r="L62" s="4" t="s">
        <v>361</v>
      </c>
      <c r="M62" s="5" t="s">
        <v>256</v>
      </c>
      <c r="N62" s="5">
        <v>0.02</v>
      </c>
      <c r="O62" s="5" t="s">
        <v>362</v>
      </c>
      <c r="P62" s="5" t="s">
        <v>363</v>
      </c>
      <c r="Q62" s="5" t="s">
        <v>364</v>
      </c>
      <c r="R62" s="5" t="s">
        <v>365</v>
      </c>
      <c r="S62" s="129">
        <v>8208400000</v>
      </c>
      <c r="T62" s="8" t="s">
        <v>366</v>
      </c>
      <c r="U62" s="8" t="s">
        <v>367</v>
      </c>
      <c r="V62" s="44" t="s">
        <v>368</v>
      </c>
      <c r="W62" s="29" t="s">
        <v>369</v>
      </c>
      <c r="X62" s="119">
        <v>5744003720354</v>
      </c>
      <c r="Y62" s="157" t="s">
        <v>968</v>
      </c>
    </row>
    <row r="63" spans="1:25" ht="39.75" customHeight="1" x14ac:dyDescent="0.4">
      <c r="A63" s="1">
        <v>32994598</v>
      </c>
      <c r="B63" s="20" t="s">
        <v>370</v>
      </c>
      <c r="C63" s="3" t="s">
        <v>945</v>
      </c>
      <c r="D63" s="4" t="s">
        <v>371</v>
      </c>
      <c r="E63" s="155">
        <f t="shared" si="4"/>
        <v>238.15384615384613</v>
      </c>
      <c r="F63" s="155">
        <f t="shared" si="0"/>
        <v>292.92923076923074</v>
      </c>
      <c r="G63" s="139">
        <f t="shared" si="7"/>
        <v>55.38461538461538</v>
      </c>
      <c r="H63" s="155">
        <f t="shared" si="2"/>
        <v>154.79999999999998</v>
      </c>
      <c r="I63" s="155">
        <f t="shared" si="3"/>
        <v>190.40399999999997</v>
      </c>
      <c r="J63" s="139">
        <v>36</v>
      </c>
      <c r="K63" s="139">
        <v>27</v>
      </c>
      <c r="L63" s="12" t="s">
        <v>361</v>
      </c>
      <c r="M63" s="5" t="s">
        <v>256</v>
      </c>
      <c r="N63" s="5">
        <v>0.13100000000000001</v>
      </c>
      <c r="O63" s="5" t="s">
        <v>362</v>
      </c>
      <c r="P63" s="5" t="s">
        <v>372</v>
      </c>
      <c r="Q63" s="5" t="s">
        <v>284</v>
      </c>
      <c r="R63" s="3" t="s">
        <v>365</v>
      </c>
      <c r="S63" s="129">
        <v>8208400000</v>
      </c>
      <c r="T63" s="8" t="s">
        <v>366</v>
      </c>
      <c r="U63" s="8" t="s">
        <v>367</v>
      </c>
      <c r="V63" s="44" t="s">
        <v>368</v>
      </c>
      <c r="W63" s="29" t="s">
        <v>369</v>
      </c>
      <c r="X63" s="119">
        <v>5744003720378</v>
      </c>
      <c r="Y63" s="157" t="s">
        <v>968</v>
      </c>
    </row>
    <row r="64" spans="1:25" ht="39.75" customHeight="1" x14ac:dyDescent="0.4">
      <c r="A64" s="1">
        <v>30014575</v>
      </c>
      <c r="B64" s="2" t="s">
        <v>373</v>
      </c>
      <c r="C64" s="3" t="s">
        <v>939</v>
      </c>
      <c r="D64" s="4" t="s">
        <v>371</v>
      </c>
      <c r="E64" s="155">
        <f t="shared" si="4"/>
        <v>1852.3076923076922</v>
      </c>
      <c r="F64" s="155">
        <f t="shared" si="0"/>
        <v>2278.3384615384612</v>
      </c>
      <c r="G64" s="139">
        <f t="shared" si="7"/>
        <v>430.76923076923077</v>
      </c>
      <c r="H64" s="155">
        <f t="shared" si="2"/>
        <v>1204</v>
      </c>
      <c r="I64" s="155">
        <f t="shared" si="3"/>
        <v>1480.92</v>
      </c>
      <c r="J64" s="139">
        <v>280</v>
      </c>
      <c r="K64" s="139">
        <v>210</v>
      </c>
      <c r="L64" s="4" t="s">
        <v>361</v>
      </c>
      <c r="M64" s="5" t="s">
        <v>267</v>
      </c>
      <c r="N64" s="5">
        <v>1.3</v>
      </c>
      <c r="O64" s="5" t="s">
        <v>362</v>
      </c>
      <c r="P64" s="5" t="s">
        <v>269</v>
      </c>
      <c r="Q64" s="5" t="s">
        <v>350</v>
      </c>
      <c r="R64" s="5" t="s">
        <v>351</v>
      </c>
      <c r="S64" s="129">
        <v>8208400000</v>
      </c>
      <c r="T64" s="8" t="s">
        <v>366</v>
      </c>
      <c r="U64" s="8" t="s">
        <v>367</v>
      </c>
      <c r="V64" s="44" t="s">
        <v>368</v>
      </c>
      <c r="W64" s="29" t="s">
        <v>369</v>
      </c>
      <c r="X64" s="119">
        <v>5744003720385</v>
      </c>
      <c r="Y64" s="157" t="s">
        <v>968</v>
      </c>
    </row>
    <row r="65" spans="1:25" ht="39.75" customHeight="1" x14ac:dyDescent="0.4">
      <c r="A65" s="1">
        <v>30014574</v>
      </c>
      <c r="B65" s="2" t="s">
        <v>374</v>
      </c>
      <c r="C65" s="3" t="s">
        <v>938</v>
      </c>
      <c r="D65" s="4" t="s">
        <v>371</v>
      </c>
      <c r="E65" s="155">
        <f t="shared" si="4"/>
        <v>86</v>
      </c>
      <c r="F65" s="155">
        <f t="shared" si="0"/>
        <v>105.78</v>
      </c>
      <c r="G65" s="139">
        <f t="shared" si="7"/>
        <v>20</v>
      </c>
      <c r="H65" s="155">
        <f t="shared" si="2"/>
        <v>55.9</v>
      </c>
      <c r="I65" s="155">
        <f t="shared" si="3"/>
        <v>68.756999999999991</v>
      </c>
      <c r="J65" s="139">
        <v>13</v>
      </c>
      <c r="K65" s="139">
        <v>9</v>
      </c>
      <c r="L65" s="4" t="s">
        <v>361</v>
      </c>
      <c r="M65" s="5" t="s">
        <v>256</v>
      </c>
      <c r="N65" s="5">
        <v>4.2999999999999997E-2</v>
      </c>
      <c r="O65" s="5" t="s">
        <v>362</v>
      </c>
      <c r="P65" s="5" t="s">
        <v>357</v>
      </c>
      <c r="Q65" s="5" t="s">
        <v>375</v>
      </c>
      <c r="R65" s="5" t="s">
        <v>365</v>
      </c>
      <c r="S65" s="129">
        <v>8208400000</v>
      </c>
      <c r="T65" s="8" t="s">
        <v>366</v>
      </c>
      <c r="U65" s="8" t="s">
        <v>367</v>
      </c>
      <c r="V65" s="44" t="s">
        <v>368</v>
      </c>
      <c r="W65" s="29" t="s">
        <v>369</v>
      </c>
      <c r="X65" s="119">
        <v>5744003720361</v>
      </c>
      <c r="Y65" s="157" t="s">
        <v>968</v>
      </c>
    </row>
    <row r="66" spans="1:25" ht="39.75" customHeight="1" x14ac:dyDescent="0.4">
      <c r="A66" s="22">
        <v>35024099</v>
      </c>
      <c r="B66" s="2" t="s">
        <v>376</v>
      </c>
      <c r="C66" s="3" t="s">
        <v>945</v>
      </c>
      <c r="D66" s="4" t="s">
        <v>377</v>
      </c>
      <c r="E66" s="155">
        <f t="shared" si="4"/>
        <v>99.230769230769226</v>
      </c>
      <c r="F66" s="155">
        <f t="shared" si="0"/>
        <v>122.05384615384615</v>
      </c>
      <c r="G66" s="139">
        <f t="shared" si="7"/>
        <v>23.076923076923077</v>
      </c>
      <c r="H66" s="155">
        <f t="shared" si="2"/>
        <v>64.5</v>
      </c>
      <c r="I66" s="155">
        <f t="shared" si="3"/>
        <v>79.334999999999994</v>
      </c>
      <c r="J66" s="139">
        <v>15</v>
      </c>
      <c r="K66" s="139">
        <v>10.5</v>
      </c>
      <c r="L66" s="12" t="s">
        <v>378</v>
      </c>
      <c r="M66" s="5" t="s">
        <v>256</v>
      </c>
      <c r="N66" s="6">
        <v>0.158</v>
      </c>
      <c r="O66" s="5" t="s">
        <v>379</v>
      </c>
      <c r="P66" s="6" t="s">
        <v>380</v>
      </c>
      <c r="Q66" s="6" t="s">
        <v>381</v>
      </c>
      <c r="R66" s="5" t="s">
        <v>382</v>
      </c>
      <c r="S66" s="129">
        <v>8208400000</v>
      </c>
      <c r="T66" s="8" t="s">
        <v>383</v>
      </c>
      <c r="U66" s="40" t="s">
        <v>384</v>
      </c>
      <c r="V66" s="8" t="s">
        <v>385</v>
      </c>
      <c r="W66" s="10" t="s">
        <v>386</v>
      </c>
      <c r="X66" s="119">
        <v>5744003720330</v>
      </c>
      <c r="Y66" s="157" t="s">
        <v>968</v>
      </c>
    </row>
    <row r="67" spans="1:25" ht="39.75" customHeight="1" x14ac:dyDescent="0.4">
      <c r="A67" s="1">
        <v>35024079</v>
      </c>
      <c r="B67" s="2" t="s">
        <v>387</v>
      </c>
      <c r="C67" s="3" t="s">
        <v>939</v>
      </c>
      <c r="D67" s="4" t="s">
        <v>377</v>
      </c>
      <c r="E67" s="155">
        <f t="shared" si="4"/>
        <v>985.69230769230762</v>
      </c>
      <c r="F67" s="155">
        <f t="shared" ref="F67:F128" si="8">(E67*1.23)</f>
        <v>1212.4015384615384</v>
      </c>
      <c r="G67" s="139">
        <f t="shared" si="7"/>
        <v>229.23076923076923</v>
      </c>
      <c r="H67" s="155">
        <f t="shared" ref="H67:H128" si="9">(J67*4.3)</f>
        <v>640.69999999999993</v>
      </c>
      <c r="I67" s="155">
        <f t="shared" ref="I67:I128" si="10">H67*1.23</f>
        <v>788.06099999999992</v>
      </c>
      <c r="J67" s="139">
        <v>149</v>
      </c>
      <c r="K67" s="139">
        <v>110</v>
      </c>
      <c r="L67" s="12" t="s">
        <v>378</v>
      </c>
      <c r="M67" s="5" t="s">
        <v>267</v>
      </c>
      <c r="N67" s="5">
        <v>1.8</v>
      </c>
      <c r="O67" s="5" t="s">
        <v>388</v>
      </c>
      <c r="P67" s="5" t="s">
        <v>269</v>
      </c>
      <c r="Q67" s="5" t="s">
        <v>270</v>
      </c>
      <c r="R67" s="5" t="s">
        <v>389</v>
      </c>
      <c r="S67" s="129">
        <v>8208400000</v>
      </c>
      <c r="T67" s="8" t="s">
        <v>383</v>
      </c>
      <c r="U67" s="40" t="s">
        <v>384</v>
      </c>
      <c r="V67" s="8" t="s">
        <v>385</v>
      </c>
      <c r="W67" s="10" t="s">
        <v>386</v>
      </c>
      <c r="X67" s="119">
        <v>5744003720347</v>
      </c>
      <c r="Y67" s="157" t="s">
        <v>968</v>
      </c>
    </row>
    <row r="68" spans="1:25" ht="39.75" customHeight="1" x14ac:dyDescent="0.4">
      <c r="A68" s="1">
        <v>35024072</v>
      </c>
      <c r="B68" s="2" t="s">
        <v>390</v>
      </c>
      <c r="C68" s="3" t="s">
        <v>938</v>
      </c>
      <c r="D68" s="4" t="s">
        <v>377</v>
      </c>
      <c r="E68" s="155">
        <f t="shared" ref="E68:E129" si="11">(G68*4.3)</f>
        <v>39.692307692307686</v>
      </c>
      <c r="F68" s="155">
        <f t="shared" si="8"/>
        <v>48.821538461538452</v>
      </c>
      <c r="G68" s="139">
        <f t="shared" si="7"/>
        <v>9.2307692307692299</v>
      </c>
      <c r="H68" s="155">
        <f t="shared" si="9"/>
        <v>25.799999999999997</v>
      </c>
      <c r="I68" s="155">
        <f t="shared" si="10"/>
        <v>31.733999999999995</v>
      </c>
      <c r="J68" s="139">
        <v>6</v>
      </c>
      <c r="K68" s="139">
        <v>4.5</v>
      </c>
      <c r="L68" s="12" t="s">
        <v>378</v>
      </c>
      <c r="M68" s="5" t="s">
        <v>256</v>
      </c>
      <c r="N68" s="5">
        <v>5.7000000000000002E-2</v>
      </c>
      <c r="O68" s="5" t="s">
        <v>379</v>
      </c>
      <c r="P68" s="5" t="s">
        <v>357</v>
      </c>
      <c r="Q68" s="5" t="s">
        <v>329</v>
      </c>
      <c r="R68" s="5" t="s">
        <v>382</v>
      </c>
      <c r="S68" s="129">
        <v>8208400000</v>
      </c>
      <c r="T68" s="8" t="s">
        <v>383</v>
      </c>
      <c r="U68" s="40" t="s">
        <v>384</v>
      </c>
      <c r="V68" s="8" t="s">
        <v>385</v>
      </c>
      <c r="W68" s="10" t="s">
        <v>386</v>
      </c>
      <c r="X68" s="119">
        <v>5744003720323</v>
      </c>
      <c r="Y68" s="157" t="s">
        <v>968</v>
      </c>
    </row>
    <row r="69" spans="1:25" ht="39.75" customHeight="1" x14ac:dyDescent="0.4">
      <c r="A69" s="34">
        <v>35014599</v>
      </c>
      <c r="B69" s="2" t="s">
        <v>391</v>
      </c>
      <c r="C69" s="3" t="s">
        <v>945</v>
      </c>
      <c r="D69" s="4" t="s">
        <v>392</v>
      </c>
      <c r="E69" s="155">
        <f t="shared" si="11"/>
        <v>86</v>
      </c>
      <c r="F69" s="155">
        <f t="shared" si="8"/>
        <v>105.78</v>
      </c>
      <c r="G69" s="139">
        <f t="shared" si="7"/>
        <v>20</v>
      </c>
      <c r="H69" s="155">
        <f t="shared" si="9"/>
        <v>55.9</v>
      </c>
      <c r="I69" s="155">
        <f t="shared" si="10"/>
        <v>68.756999999999991</v>
      </c>
      <c r="J69" s="139">
        <v>13</v>
      </c>
      <c r="K69" s="139">
        <v>8</v>
      </c>
      <c r="L69" s="12" t="s">
        <v>393</v>
      </c>
      <c r="M69" s="5" t="s">
        <v>256</v>
      </c>
      <c r="N69" s="6">
        <v>0.13700000000000001</v>
      </c>
      <c r="O69" s="5" t="s">
        <v>394</v>
      </c>
      <c r="P69" s="6" t="s">
        <v>380</v>
      </c>
      <c r="Q69" s="6" t="s">
        <v>381</v>
      </c>
      <c r="R69" s="5" t="s">
        <v>382</v>
      </c>
      <c r="S69" s="129">
        <v>8208400000</v>
      </c>
      <c r="T69" s="8" t="s">
        <v>395</v>
      </c>
      <c r="U69" s="40" t="s">
        <v>24</v>
      </c>
      <c r="V69" s="8" t="s">
        <v>396</v>
      </c>
      <c r="W69" s="10" t="s">
        <v>397</v>
      </c>
      <c r="X69" s="119">
        <v>5744003720309</v>
      </c>
      <c r="Y69" s="157" t="s">
        <v>968</v>
      </c>
    </row>
    <row r="70" spans="1:25" ht="39.75" customHeight="1" x14ac:dyDescent="0.4">
      <c r="A70" s="1">
        <v>30014578</v>
      </c>
      <c r="B70" s="2" t="s">
        <v>398</v>
      </c>
      <c r="C70" s="3" t="s">
        <v>939</v>
      </c>
      <c r="D70" s="4" t="s">
        <v>392</v>
      </c>
      <c r="E70" s="155">
        <f t="shared" si="11"/>
        <v>721.07692307692298</v>
      </c>
      <c r="F70" s="155">
        <f t="shared" si="8"/>
        <v>886.92461538461521</v>
      </c>
      <c r="G70" s="139">
        <f t="shared" si="7"/>
        <v>167.69230769230768</v>
      </c>
      <c r="H70" s="155">
        <f t="shared" si="9"/>
        <v>468.7</v>
      </c>
      <c r="I70" s="155">
        <f t="shared" si="10"/>
        <v>576.50099999999998</v>
      </c>
      <c r="J70" s="139">
        <v>109</v>
      </c>
      <c r="K70" s="139">
        <v>89</v>
      </c>
      <c r="L70" s="12" t="s">
        <v>393</v>
      </c>
      <c r="M70" s="5" t="s">
        <v>267</v>
      </c>
      <c r="N70" s="5">
        <v>1.7</v>
      </c>
      <c r="O70" s="5" t="s">
        <v>394</v>
      </c>
      <c r="P70" s="5" t="s">
        <v>269</v>
      </c>
      <c r="Q70" s="5" t="s">
        <v>270</v>
      </c>
      <c r="R70" s="5" t="s">
        <v>389</v>
      </c>
      <c r="S70" s="129">
        <v>8208400000</v>
      </c>
      <c r="T70" s="8" t="s">
        <v>395</v>
      </c>
      <c r="U70" s="40" t="s">
        <v>24</v>
      </c>
      <c r="V70" s="8" t="s">
        <v>396</v>
      </c>
      <c r="W70" s="10" t="s">
        <v>397</v>
      </c>
      <c r="X70" s="119">
        <v>5744003720316</v>
      </c>
      <c r="Y70" s="157" t="s">
        <v>968</v>
      </c>
    </row>
    <row r="71" spans="1:25" ht="39.75" customHeight="1" x14ac:dyDescent="0.4">
      <c r="A71" s="1">
        <v>30014572</v>
      </c>
      <c r="B71" s="2" t="s">
        <v>399</v>
      </c>
      <c r="C71" s="3" t="s">
        <v>938</v>
      </c>
      <c r="D71" s="4" t="s">
        <v>392</v>
      </c>
      <c r="E71" s="155">
        <f t="shared" si="11"/>
        <v>26.461538461538456</v>
      </c>
      <c r="F71" s="155">
        <f t="shared" si="8"/>
        <v>32.547692307692301</v>
      </c>
      <c r="G71" s="139">
        <f t="shared" si="7"/>
        <v>6.1538461538461533</v>
      </c>
      <c r="H71" s="155">
        <f t="shared" si="9"/>
        <v>17.2</v>
      </c>
      <c r="I71" s="155">
        <f t="shared" si="10"/>
        <v>21.155999999999999</v>
      </c>
      <c r="J71" s="139">
        <v>4</v>
      </c>
      <c r="K71" s="139">
        <v>3</v>
      </c>
      <c r="L71" s="4" t="s">
        <v>393</v>
      </c>
      <c r="M71" s="5" t="s">
        <v>256</v>
      </c>
      <c r="N71" s="5">
        <v>0.05</v>
      </c>
      <c r="O71" s="5" t="s">
        <v>394</v>
      </c>
      <c r="P71" s="5" t="s">
        <v>400</v>
      </c>
      <c r="Q71" s="5" t="s">
        <v>329</v>
      </c>
      <c r="R71" s="5" t="s">
        <v>382</v>
      </c>
      <c r="S71" s="129">
        <v>8208400000</v>
      </c>
      <c r="T71" s="8" t="s">
        <v>395</v>
      </c>
      <c r="U71" s="40" t="s">
        <v>24</v>
      </c>
      <c r="V71" s="8" t="s">
        <v>396</v>
      </c>
      <c r="W71" s="10" t="s">
        <v>397</v>
      </c>
      <c r="X71" s="119">
        <v>5744003720293</v>
      </c>
      <c r="Y71" s="157" t="s">
        <v>968</v>
      </c>
    </row>
    <row r="72" spans="1:25" ht="39.75" customHeight="1" x14ac:dyDescent="0.4">
      <c r="A72" s="1">
        <v>37504594</v>
      </c>
      <c r="B72" s="2" t="s">
        <v>401</v>
      </c>
      <c r="C72" s="3" t="s">
        <v>946</v>
      </c>
      <c r="D72" s="9" t="s">
        <v>402</v>
      </c>
      <c r="E72" s="155">
        <f t="shared" si="11"/>
        <v>138.92307692307691</v>
      </c>
      <c r="F72" s="155">
        <f t="shared" si="8"/>
        <v>170.8753846153846</v>
      </c>
      <c r="G72" s="139">
        <f t="shared" si="7"/>
        <v>32.307692307692307</v>
      </c>
      <c r="H72" s="155">
        <f t="shared" si="9"/>
        <v>90.3</v>
      </c>
      <c r="I72" s="155">
        <f t="shared" si="10"/>
        <v>111.06899999999999</v>
      </c>
      <c r="J72" s="140">
        <v>21</v>
      </c>
      <c r="K72" s="140">
        <v>15</v>
      </c>
      <c r="L72" s="4" t="s">
        <v>403</v>
      </c>
      <c r="M72" s="5" t="s">
        <v>404</v>
      </c>
      <c r="N72" s="5">
        <v>0.47</v>
      </c>
      <c r="O72" s="5" t="s">
        <v>405</v>
      </c>
      <c r="P72" s="5" t="s">
        <v>406</v>
      </c>
      <c r="Q72" s="5" t="s">
        <v>350</v>
      </c>
      <c r="R72" s="5" t="s">
        <v>31</v>
      </c>
      <c r="S72" s="129">
        <v>8208400000</v>
      </c>
      <c r="T72" s="8" t="s">
        <v>407</v>
      </c>
      <c r="U72" s="8" t="s">
        <v>408</v>
      </c>
      <c r="V72" s="8" t="s">
        <v>409</v>
      </c>
      <c r="W72" s="10" t="s">
        <v>410</v>
      </c>
      <c r="X72" s="119">
        <v>5744003720408</v>
      </c>
      <c r="Y72" s="157" t="s">
        <v>968</v>
      </c>
    </row>
    <row r="73" spans="1:25" ht="39.75" customHeight="1" x14ac:dyDescent="0.4">
      <c r="A73" s="1">
        <v>37504585</v>
      </c>
      <c r="B73" s="2" t="s">
        <v>411</v>
      </c>
      <c r="C73" s="3" t="s">
        <v>947</v>
      </c>
      <c r="D73" s="4" t="s">
        <v>402</v>
      </c>
      <c r="E73" s="155">
        <f t="shared" si="11"/>
        <v>277.84615384615381</v>
      </c>
      <c r="F73" s="155">
        <f t="shared" si="8"/>
        <v>341.75076923076921</v>
      </c>
      <c r="G73" s="139">
        <f t="shared" si="7"/>
        <v>64.615384615384613</v>
      </c>
      <c r="H73" s="155">
        <f t="shared" si="9"/>
        <v>180.6</v>
      </c>
      <c r="I73" s="155">
        <f t="shared" si="10"/>
        <v>222.13799999999998</v>
      </c>
      <c r="J73" s="139">
        <v>42</v>
      </c>
      <c r="K73" s="139">
        <v>30</v>
      </c>
      <c r="L73" s="4" t="s">
        <v>403</v>
      </c>
      <c r="M73" s="5" t="s">
        <v>404</v>
      </c>
      <c r="N73" s="5">
        <v>0.7</v>
      </c>
      <c r="O73" s="5" t="s">
        <v>405</v>
      </c>
      <c r="P73" s="5" t="s">
        <v>406</v>
      </c>
      <c r="Q73" s="5" t="s">
        <v>350</v>
      </c>
      <c r="R73" s="5" t="s">
        <v>31</v>
      </c>
      <c r="S73" s="129">
        <v>8208400000</v>
      </c>
      <c r="T73" s="8" t="s">
        <v>407</v>
      </c>
      <c r="U73" s="8" t="s">
        <v>408</v>
      </c>
      <c r="V73" s="8" t="s">
        <v>409</v>
      </c>
      <c r="W73" s="10" t="s">
        <v>410</v>
      </c>
      <c r="X73" s="119">
        <v>5744003720415</v>
      </c>
      <c r="Y73" s="157" t="s">
        <v>968</v>
      </c>
    </row>
    <row r="74" spans="1:25" ht="39.75" customHeight="1" x14ac:dyDescent="0.4">
      <c r="A74" s="1">
        <v>37894575</v>
      </c>
      <c r="B74" s="2" t="s">
        <v>412</v>
      </c>
      <c r="C74" s="3" t="s">
        <v>948</v>
      </c>
      <c r="D74" s="4" t="s">
        <v>402</v>
      </c>
      <c r="E74" s="155">
        <f t="shared" si="11"/>
        <v>3301.0769230769229</v>
      </c>
      <c r="F74" s="155">
        <f t="shared" si="8"/>
        <v>4060.3246153846148</v>
      </c>
      <c r="G74" s="139">
        <f t="shared" si="7"/>
        <v>767.69230769230762</v>
      </c>
      <c r="H74" s="155">
        <f t="shared" si="9"/>
        <v>2145.6999999999998</v>
      </c>
      <c r="I74" s="155">
        <f t="shared" si="10"/>
        <v>2639.2109999999998</v>
      </c>
      <c r="J74" s="139">
        <v>499</v>
      </c>
      <c r="K74" s="139">
        <v>359</v>
      </c>
      <c r="L74" s="31" t="s">
        <v>403</v>
      </c>
      <c r="M74" s="5" t="s">
        <v>414</v>
      </c>
      <c r="N74" s="5">
        <v>6.5</v>
      </c>
      <c r="O74" s="5" t="s">
        <v>405</v>
      </c>
      <c r="P74" s="5" t="s">
        <v>414</v>
      </c>
      <c r="Q74" s="5" t="s">
        <v>30</v>
      </c>
      <c r="R74" s="5" t="s">
        <v>31</v>
      </c>
      <c r="S74" s="129">
        <v>8208400000</v>
      </c>
      <c r="T74" s="8" t="s">
        <v>407</v>
      </c>
      <c r="U74" s="8" t="s">
        <v>408</v>
      </c>
      <c r="V74" s="8" t="s">
        <v>409</v>
      </c>
      <c r="W74" s="10" t="s">
        <v>410</v>
      </c>
      <c r="X74" s="119">
        <v>5744003720422</v>
      </c>
      <c r="Y74" s="157" t="s">
        <v>968</v>
      </c>
    </row>
    <row r="75" spans="1:25" ht="39.75" customHeight="1" x14ac:dyDescent="0.4">
      <c r="A75" s="1">
        <v>37504589</v>
      </c>
      <c r="B75" s="2" t="s">
        <v>415</v>
      </c>
      <c r="C75" s="3" t="s">
        <v>112</v>
      </c>
      <c r="D75" s="4" t="s">
        <v>416</v>
      </c>
      <c r="E75" s="155">
        <f t="shared" si="11"/>
        <v>39.692307692307686</v>
      </c>
      <c r="F75" s="155">
        <f t="shared" si="8"/>
        <v>48.821538461538452</v>
      </c>
      <c r="G75" s="139">
        <f t="shared" si="7"/>
        <v>9.2307692307692299</v>
      </c>
      <c r="H75" s="155">
        <f t="shared" si="9"/>
        <v>25.799999999999997</v>
      </c>
      <c r="I75" s="155">
        <f t="shared" si="10"/>
        <v>31.733999999999995</v>
      </c>
      <c r="J75" s="139">
        <v>6</v>
      </c>
      <c r="K75" s="139">
        <v>4.5</v>
      </c>
      <c r="L75" s="4" t="s">
        <v>417</v>
      </c>
      <c r="M75" s="5" t="s">
        <v>256</v>
      </c>
      <c r="N75" s="5">
        <v>0.82</v>
      </c>
      <c r="O75" s="5" t="s">
        <v>418</v>
      </c>
      <c r="P75" s="45" t="s">
        <v>419</v>
      </c>
      <c r="Q75" s="5" t="s">
        <v>420</v>
      </c>
      <c r="R75" s="45" t="s">
        <v>351</v>
      </c>
      <c r="S75" s="129">
        <v>8208400000</v>
      </c>
      <c r="T75" s="8" t="s">
        <v>421</v>
      </c>
      <c r="U75" s="8" t="s">
        <v>422</v>
      </c>
      <c r="V75" s="8" t="s">
        <v>423</v>
      </c>
      <c r="W75" s="10" t="s">
        <v>424</v>
      </c>
      <c r="X75" s="119">
        <v>5744003720392</v>
      </c>
      <c r="Y75" s="157" t="s">
        <v>968</v>
      </c>
    </row>
    <row r="76" spans="1:25" ht="39.75" customHeight="1" x14ac:dyDescent="0.4">
      <c r="A76" s="1">
        <v>37994571</v>
      </c>
      <c r="B76" s="21" t="s">
        <v>425</v>
      </c>
      <c r="C76" s="3" t="s">
        <v>42</v>
      </c>
      <c r="D76" s="26" t="s">
        <v>426</v>
      </c>
      <c r="E76" s="155">
        <f t="shared" si="11"/>
        <v>52.923076923076913</v>
      </c>
      <c r="F76" s="155">
        <f t="shared" si="8"/>
        <v>65.095384615384603</v>
      </c>
      <c r="G76" s="139">
        <f t="shared" si="7"/>
        <v>12.307692307692307</v>
      </c>
      <c r="H76" s="155">
        <f t="shared" si="9"/>
        <v>34.4</v>
      </c>
      <c r="I76" s="155">
        <f t="shared" si="10"/>
        <v>42.311999999999998</v>
      </c>
      <c r="J76" s="141">
        <v>8</v>
      </c>
      <c r="K76" s="141">
        <v>6</v>
      </c>
      <c r="L76" s="31" t="s">
        <v>427</v>
      </c>
      <c r="M76" s="5" t="s">
        <v>256</v>
      </c>
      <c r="N76" s="5">
        <v>5.2999999999999999E-2</v>
      </c>
      <c r="O76" s="5" t="s">
        <v>428</v>
      </c>
      <c r="P76" s="5" t="s">
        <v>429</v>
      </c>
      <c r="Q76" s="5" t="s">
        <v>341</v>
      </c>
      <c r="R76" s="3" t="s">
        <v>365</v>
      </c>
      <c r="S76" s="133">
        <v>8208400000</v>
      </c>
      <c r="T76" s="27" t="s">
        <v>430</v>
      </c>
      <c r="U76" s="27" t="s">
        <v>431</v>
      </c>
      <c r="V76" s="27" t="s">
        <v>432</v>
      </c>
      <c r="W76" s="10" t="s">
        <v>433</v>
      </c>
      <c r="X76" s="119">
        <v>5744003720439</v>
      </c>
      <c r="Y76" s="157" t="s">
        <v>968</v>
      </c>
    </row>
    <row r="77" spans="1:25" ht="39.75" customHeight="1" x14ac:dyDescent="0.4">
      <c r="A77" s="1">
        <v>31509788</v>
      </c>
      <c r="B77" s="2" t="s">
        <v>434</v>
      </c>
      <c r="C77" s="3" t="s">
        <v>112</v>
      </c>
      <c r="D77" s="26" t="s">
        <v>435</v>
      </c>
      <c r="E77" s="155">
        <f t="shared" si="11"/>
        <v>33.076923076923073</v>
      </c>
      <c r="F77" s="155">
        <f t="shared" si="8"/>
        <v>40.684615384615377</v>
      </c>
      <c r="G77" s="139">
        <f t="shared" si="7"/>
        <v>7.6923076923076916</v>
      </c>
      <c r="H77" s="155">
        <f t="shared" si="9"/>
        <v>21.5</v>
      </c>
      <c r="I77" s="155">
        <f t="shared" si="10"/>
        <v>26.445</v>
      </c>
      <c r="J77" s="141">
        <v>5</v>
      </c>
      <c r="K77" s="141">
        <v>3</v>
      </c>
      <c r="L77" s="46" t="s">
        <v>436</v>
      </c>
      <c r="M77" s="5" t="s">
        <v>437</v>
      </c>
      <c r="N77" s="18">
        <v>0.09</v>
      </c>
      <c r="O77" s="5" t="s">
        <v>438</v>
      </c>
      <c r="P77" s="5" t="s">
        <v>439</v>
      </c>
      <c r="Q77" s="18" t="s">
        <v>322</v>
      </c>
      <c r="R77" s="18" t="s">
        <v>351</v>
      </c>
      <c r="S77" s="133">
        <v>8208400000</v>
      </c>
      <c r="T77" s="27" t="s">
        <v>440</v>
      </c>
      <c r="U77" s="30"/>
      <c r="V77" s="27" t="s">
        <v>441</v>
      </c>
      <c r="W77" s="10" t="s">
        <v>442</v>
      </c>
      <c r="X77" s="123">
        <v>5744003720507</v>
      </c>
      <c r="Y77" s="157" t="s">
        <v>968</v>
      </c>
    </row>
    <row r="78" spans="1:25" ht="39.75" customHeight="1" x14ac:dyDescent="0.4">
      <c r="A78" s="1">
        <v>31509786</v>
      </c>
      <c r="B78" s="2" t="s">
        <v>443</v>
      </c>
      <c r="C78" s="3" t="s">
        <v>444</v>
      </c>
      <c r="D78" s="26" t="s">
        <v>435</v>
      </c>
      <c r="E78" s="155">
        <f t="shared" si="11"/>
        <v>46.307692307692299</v>
      </c>
      <c r="F78" s="155">
        <f t="shared" si="8"/>
        <v>56.958461538461528</v>
      </c>
      <c r="G78" s="139">
        <f t="shared" si="7"/>
        <v>10.769230769230768</v>
      </c>
      <c r="H78" s="155">
        <f t="shared" si="9"/>
        <v>30.099999999999998</v>
      </c>
      <c r="I78" s="155">
        <f t="shared" si="10"/>
        <v>37.022999999999996</v>
      </c>
      <c r="J78" s="141">
        <v>7</v>
      </c>
      <c r="K78" s="141">
        <v>5</v>
      </c>
      <c r="L78" s="46" t="s">
        <v>445</v>
      </c>
      <c r="M78" s="5" t="s">
        <v>446</v>
      </c>
      <c r="N78" s="18">
        <v>0.14000000000000001</v>
      </c>
      <c r="O78" s="18" t="s">
        <v>447</v>
      </c>
      <c r="P78" s="48" t="s">
        <v>448</v>
      </c>
      <c r="Q78" s="18" t="s">
        <v>449</v>
      </c>
      <c r="R78" s="18" t="s">
        <v>351</v>
      </c>
      <c r="S78" s="133">
        <v>8208400000</v>
      </c>
      <c r="T78" s="27" t="s">
        <v>440</v>
      </c>
      <c r="U78" s="30"/>
      <c r="V78" s="27" t="s">
        <v>450</v>
      </c>
      <c r="W78" s="10" t="s">
        <v>451</v>
      </c>
      <c r="X78" s="119">
        <v>5744003720477</v>
      </c>
      <c r="Y78" s="157" t="s">
        <v>968</v>
      </c>
    </row>
    <row r="79" spans="1:25" ht="39.75" customHeight="1" x14ac:dyDescent="0.4">
      <c r="A79" s="1">
        <v>31509787</v>
      </c>
      <c r="B79" s="2" t="s">
        <v>452</v>
      </c>
      <c r="C79" s="3" t="s">
        <v>112</v>
      </c>
      <c r="D79" s="26" t="s">
        <v>435</v>
      </c>
      <c r="E79" s="155">
        <f t="shared" si="11"/>
        <v>52.923076923076913</v>
      </c>
      <c r="F79" s="155">
        <f t="shared" si="8"/>
        <v>65.095384615384603</v>
      </c>
      <c r="G79" s="139">
        <f t="shared" si="7"/>
        <v>12.307692307692307</v>
      </c>
      <c r="H79" s="155">
        <f t="shared" si="9"/>
        <v>34.4</v>
      </c>
      <c r="I79" s="155">
        <f t="shared" si="10"/>
        <v>42.311999999999998</v>
      </c>
      <c r="J79" s="141">
        <v>8</v>
      </c>
      <c r="K79" s="141">
        <v>6</v>
      </c>
      <c r="L79" s="12" t="s">
        <v>453</v>
      </c>
      <c r="M79" s="5" t="s">
        <v>446</v>
      </c>
      <c r="N79" s="5">
        <v>0.3</v>
      </c>
      <c r="O79" s="5" t="s">
        <v>447</v>
      </c>
      <c r="P79" s="5" t="s">
        <v>454</v>
      </c>
      <c r="Q79" s="5" t="s">
        <v>455</v>
      </c>
      <c r="R79" s="5" t="s">
        <v>351</v>
      </c>
      <c r="S79" s="129">
        <v>8208400000</v>
      </c>
      <c r="T79" s="27" t="s">
        <v>456</v>
      </c>
      <c r="U79" s="27" t="s">
        <v>457</v>
      </c>
      <c r="V79" s="27" t="s">
        <v>458</v>
      </c>
      <c r="W79" s="10" t="s">
        <v>459</v>
      </c>
      <c r="X79" s="119">
        <v>5744003720460</v>
      </c>
      <c r="Y79" s="157" t="s">
        <v>968</v>
      </c>
    </row>
    <row r="80" spans="1:25" ht="39.75" customHeight="1" x14ac:dyDescent="0.4">
      <c r="A80" s="1">
        <v>31029717</v>
      </c>
      <c r="B80" s="2" t="s">
        <v>460</v>
      </c>
      <c r="C80" s="3" t="s">
        <v>945</v>
      </c>
      <c r="D80" s="153" t="s">
        <v>461</v>
      </c>
      <c r="E80" s="155">
        <f t="shared" si="11"/>
        <v>119.07692307692307</v>
      </c>
      <c r="F80" s="155">
        <f t="shared" si="8"/>
        <v>146.46461538461537</v>
      </c>
      <c r="G80" s="139">
        <f t="shared" si="7"/>
        <v>27.69230769230769</v>
      </c>
      <c r="H80" s="155">
        <f t="shared" si="9"/>
        <v>77.399999999999991</v>
      </c>
      <c r="I80" s="155">
        <f t="shared" si="10"/>
        <v>95.201999999999984</v>
      </c>
      <c r="J80" s="143">
        <v>18</v>
      </c>
      <c r="K80" s="143">
        <v>14</v>
      </c>
      <c r="L80" s="156" t="s">
        <v>930</v>
      </c>
      <c r="M80" s="14" t="s">
        <v>24</v>
      </c>
      <c r="N80" s="14" t="s">
        <v>24</v>
      </c>
      <c r="O80" s="5" t="s">
        <v>462</v>
      </c>
      <c r="P80" s="15" t="s">
        <v>24</v>
      </c>
      <c r="Q80" s="15" t="s">
        <v>24</v>
      </c>
      <c r="R80" s="5" t="s">
        <v>330</v>
      </c>
      <c r="S80" s="129">
        <v>8208400000</v>
      </c>
      <c r="T80" s="32" t="s">
        <v>463</v>
      </c>
      <c r="U80" s="33" t="s">
        <v>24</v>
      </c>
      <c r="V80" s="33" t="s">
        <v>464</v>
      </c>
      <c r="W80" s="29" t="s">
        <v>465</v>
      </c>
      <c r="X80" s="124">
        <v>5744003721511</v>
      </c>
      <c r="Y80" s="157" t="s">
        <v>968</v>
      </c>
    </row>
    <row r="81" spans="1:25" ht="39.75" customHeight="1" x14ac:dyDescent="0.4">
      <c r="A81" s="1">
        <v>31029779</v>
      </c>
      <c r="B81" s="2" t="s">
        <v>466</v>
      </c>
      <c r="C81" s="3" t="s">
        <v>939</v>
      </c>
      <c r="D81" s="153" t="s">
        <v>461</v>
      </c>
      <c r="E81" s="155">
        <f t="shared" si="11"/>
        <v>926.15384615384608</v>
      </c>
      <c r="F81" s="155">
        <f t="shared" si="8"/>
        <v>1139.1692307692306</v>
      </c>
      <c r="G81" s="139">
        <f t="shared" si="7"/>
        <v>215.38461538461539</v>
      </c>
      <c r="H81" s="155">
        <f t="shared" si="9"/>
        <v>602</v>
      </c>
      <c r="I81" s="155">
        <f t="shared" si="10"/>
        <v>740.46</v>
      </c>
      <c r="J81" s="143">
        <v>140</v>
      </c>
      <c r="K81" s="143">
        <v>110</v>
      </c>
      <c r="L81" s="156" t="s">
        <v>930</v>
      </c>
      <c r="M81" s="14" t="s">
        <v>24</v>
      </c>
      <c r="N81" s="14" t="s">
        <v>24</v>
      </c>
      <c r="O81" s="5" t="s">
        <v>462</v>
      </c>
      <c r="P81" s="15" t="s">
        <v>24</v>
      </c>
      <c r="Q81" s="15" t="s">
        <v>24</v>
      </c>
      <c r="R81" s="5" t="s">
        <v>330</v>
      </c>
      <c r="S81" s="129">
        <v>8208400000</v>
      </c>
      <c r="T81" s="32" t="s">
        <v>463</v>
      </c>
      <c r="U81" s="33" t="s">
        <v>24</v>
      </c>
      <c r="V81" s="33" t="s">
        <v>464</v>
      </c>
      <c r="W81" s="29" t="s">
        <v>465</v>
      </c>
      <c r="X81" s="119">
        <v>5744003721528</v>
      </c>
      <c r="Y81" s="157" t="s">
        <v>968</v>
      </c>
    </row>
    <row r="82" spans="1:25" ht="39.75" customHeight="1" x14ac:dyDescent="0.4">
      <c r="A82" s="1">
        <v>31029772</v>
      </c>
      <c r="B82" s="2" t="s">
        <v>467</v>
      </c>
      <c r="C82" s="3" t="s">
        <v>938</v>
      </c>
      <c r="D82" s="153" t="s">
        <v>461</v>
      </c>
      <c r="E82" s="155">
        <f t="shared" si="11"/>
        <v>39.692307692307686</v>
      </c>
      <c r="F82" s="155">
        <f t="shared" si="8"/>
        <v>48.821538461538452</v>
      </c>
      <c r="G82" s="139">
        <f t="shared" si="7"/>
        <v>9.2307692307692299</v>
      </c>
      <c r="H82" s="155">
        <f t="shared" si="9"/>
        <v>25.799999999999997</v>
      </c>
      <c r="I82" s="155">
        <f t="shared" si="10"/>
        <v>31.733999999999995</v>
      </c>
      <c r="J82" s="143">
        <v>6</v>
      </c>
      <c r="K82" s="143">
        <v>4.5</v>
      </c>
      <c r="L82" s="156" t="s">
        <v>930</v>
      </c>
      <c r="M82" s="14" t="s">
        <v>24</v>
      </c>
      <c r="N82" s="14" t="s">
        <v>24</v>
      </c>
      <c r="O82" s="5" t="s">
        <v>462</v>
      </c>
      <c r="P82" s="15" t="s">
        <v>24</v>
      </c>
      <c r="Q82" s="15" t="s">
        <v>24</v>
      </c>
      <c r="R82" s="5" t="s">
        <v>330</v>
      </c>
      <c r="S82" s="129">
        <v>8208400000</v>
      </c>
      <c r="T82" s="32" t="s">
        <v>463</v>
      </c>
      <c r="U82" s="33" t="s">
        <v>24</v>
      </c>
      <c r="V82" s="33" t="s">
        <v>464</v>
      </c>
      <c r="W82" s="29" t="s">
        <v>465</v>
      </c>
      <c r="X82" s="125">
        <v>5744003721504</v>
      </c>
      <c r="Y82" s="157" t="s">
        <v>968</v>
      </c>
    </row>
    <row r="83" spans="1:25" ht="39.75" customHeight="1" x14ac:dyDescent="0.4">
      <c r="A83" s="22">
        <v>31509789</v>
      </c>
      <c r="B83" s="2" t="s">
        <v>468</v>
      </c>
      <c r="C83" s="3" t="s">
        <v>112</v>
      </c>
      <c r="D83" s="26" t="s">
        <v>435</v>
      </c>
      <c r="E83" s="155">
        <f t="shared" si="11"/>
        <v>39.692307692307686</v>
      </c>
      <c r="F83" s="155">
        <f t="shared" si="8"/>
        <v>48.821538461538452</v>
      </c>
      <c r="G83" s="139">
        <f t="shared" si="7"/>
        <v>9.2307692307692299</v>
      </c>
      <c r="H83" s="155">
        <f t="shared" si="9"/>
        <v>25.799999999999997</v>
      </c>
      <c r="I83" s="155">
        <f t="shared" si="10"/>
        <v>31.733999999999995</v>
      </c>
      <c r="J83" s="141">
        <v>6</v>
      </c>
      <c r="K83" s="141">
        <v>4.5</v>
      </c>
      <c r="L83" s="12" t="s">
        <v>469</v>
      </c>
      <c r="M83" s="5" t="s">
        <v>470</v>
      </c>
      <c r="N83" s="5">
        <v>0.121</v>
      </c>
      <c r="O83" s="5" t="s">
        <v>471</v>
      </c>
      <c r="P83" s="5" t="s">
        <v>472</v>
      </c>
      <c r="Q83" s="5" t="s">
        <v>322</v>
      </c>
      <c r="R83" s="5" t="s">
        <v>473</v>
      </c>
      <c r="S83" s="129">
        <v>8208400000</v>
      </c>
      <c r="T83" s="27" t="s">
        <v>440</v>
      </c>
      <c r="U83" s="30"/>
      <c r="V83" s="27" t="s">
        <v>474</v>
      </c>
      <c r="W83" s="10" t="s">
        <v>451</v>
      </c>
      <c r="X83" s="119">
        <v>5744003720484</v>
      </c>
      <c r="Y83" s="157" t="s">
        <v>968</v>
      </c>
    </row>
    <row r="84" spans="1:25" ht="39.75" customHeight="1" x14ac:dyDescent="0.4">
      <c r="A84" s="1">
        <v>39969998</v>
      </c>
      <c r="B84" s="2" t="s">
        <v>475</v>
      </c>
      <c r="C84" s="3" t="s">
        <v>949</v>
      </c>
      <c r="D84" s="4" t="s">
        <v>476</v>
      </c>
      <c r="E84" s="155">
        <f t="shared" si="11"/>
        <v>39.692307692307686</v>
      </c>
      <c r="F84" s="155">
        <f t="shared" si="8"/>
        <v>48.821538461538452</v>
      </c>
      <c r="G84" s="139">
        <f t="shared" si="7"/>
        <v>9.2307692307692299</v>
      </c>
      <c r="H84" s="155">
        <f t="shared" si="9"/>
        <v>25.799999999999997</v>
      </c>
      <c r="I84" s="155">
        <f t="shared" si="10"/>
        <v>31.733999999999995</v>
      </c>
      <c r="J84" s="144">
        <v>6</v>
      </c>
      <c r="K84" s="144">
        <v>4.5</v>
      </c>
      <c r="L84" s="49" t="s">
        <v>477</v>
      </c>
      <c r="M84" s="5" t="s">
        <v>256</v>
      </c>
      <c r="N84" s="48">
        <v>6.9000000000000006E-2</v>
      </c>
      <c r="O84" s="48" t="s">
        <v>478</v>
      </c>
      <c r="P84" s="48" t="s">
        <v>479</v>
      </c>
      <c r="Q84" s="48" t="s">
        <v>341</v>
      </c>
      <c r="R84" s="5" t="s">
        <v>330</v>
      </c>
      <c r="S84" s="133">
        <v>8208400000</v>
      </c>
      <c r="T84" s="50" t="s">
        <v>480</v>
      </c>
      <c r="U84" s="50" t="s">
        <v>481</v>
      </c>
      <c r="V84" s="50" t="s">
        <v>482</v>
      </c>
      <c r="W84" s="10" t="s">
        <v>483</v>
      </c>
      <c r="X84" s="119">
        <v>5744003720590</v>
      </c>
      <c r="Y84" s="157" t="s">
        <v>968</v>
      </c>
    </row>
    <row r="85" spans="1:25" ht="39.75" customHeight="1" x14ac:dyDescent="0.4">
      <c r="A85" s="1">
        <v>39969979</v>
      </c>
      <c r="B85" s="2" t="s">
        <v>484</v>
      </c>
      <c r="C85" s="3" t="s">
        <v>939</v>
      </c>
      <c r="D85" s="26" t="s">
        <v>476</v>
      </c>
      <c r="E85" s="155">
        <f t="shared" si="11"/>
        <v>860</v>
      </c>
      <c r="F85" s="155">
        <f t="shared" si="8"/>
        <v>1057.8</v>
      </c>
      <c r="G85" s="139">
        <f t="shared" si="7"/>
        <v>200</v>
      </c>
      <c r="H85" s="155">
        <f t="shared" si="9"/>
        <v>559</v>
      </c>
      <c r="I85" s="155">
        <f t="shared" si="10"/>
        <v>687.56999999999994</v>
      </c>
      <c r="J85" s="141">
        <v>130</v>
      </c>
      <c r="K85" s="141">
        <v>100</v>
      </c>
      <c r="L85" s="42" t="s">
        <v>477</v>
      </c>
      <c r="M85" s="5" t="s">
        <v>267</v>
      </c>
      <c r="N85" s="5">
        <v>2</v>
      </c>
      <c r="O85" s="5" t="s">
        <v>478</v>
      </c>
      <c r="P85" s="5" t="s">
        <v>269</v>
      </c>
      <c r="Q85" s="5" t="s">
        <v>270</v>
      </c>
      <c r="R85" s="5" t="s">
        <v>389</v>
      </c>
      <c r="S85" s="133">
        <v>8208400000</v>
      </c>
      <c r="T85" s="50" t="s">
        <v>480</v>
      </c>
      <c r="U85" s="50" t="s">
        <v>481</v>
      </c>
      <c r="V85" s="50" t="s">
        <v>482</v>
      </c>
      <c r="W85" s="10" t="s">
        <v>483</v>
      </c>
      <c r="X85" s="125">
        <v>5744003721252</v>
      </c>
      <c r="Y85" s="157" t="s">
        <v>968</v>
      </c>
    </row>
    <row r="86" spans="1:25" ht="39.75" customHeight="1" x14ac:dyDescent="0.4">
      <c r="A86" s="1">
        <v>33899793</v>
      </c>
      <c r="B86" s="2" t="s">
        <v>485</v>
      </c>
      <c r="C86" s="3" t="s">
        <v>954</v>
      </c>
      <c r="D86" s="26" t="s">
        <v>486</v>
      </c>
      <c r="E86" s="155">
        <f t="shared" si="11"/>
        <v>659.33333333333337</v>
      </c>
      <c r="F86" s="155">
        <f t="shared" si="8"/>
        <v>810.98</v>
      </c>
      <c r="G86" s="141">
        <f>J86/0.75</f>
        <v>153.33333333333334</v>
      </c>
      <c r="H86" s="155">
        <f t="shared" si="9"/>
        <v>494.5</v>
      </c>
      <c r="I86" s="155">
        <f t="shared" si="10"/>
        <v>608.23500000000001</v>
      </c>
      <c r="J86" s="141">
        <v>115</v>
      </c>
      <c r="K86" s="141">
        <v>89</v>
      </c>
      <c r="L86" s="156" t="s">
        <v>931</v>
      </c>
      <c r="M86" s="5" t="s">
        <v>487</v>
      </c>
      <c r="N86" s="5">
        <v>5.5</v>
      </c>
      <c r="O86" s="5" t="s">
        <v>488</v>
      </c>
      <c r="P86" s="5" t="s">
        <v>489</v>
      </c>
      <c r="Q86" s="5" t="s">
        <v>490</v>
      </c>
      <c r="R86" s="5" t="s">
        <v>31</v>
      </c>
      <c r="S86" s="133">
        <v>8544492000</v>
      </c>
      <c r="T86" s="27" t="s">
        <v>491</v>
      </c>
      <c r="U86" s="30"/>
      <c r="V86" s="27" t="s">
        <v>492</v>
      </c>
      <c r="W86" s="29" t="s">
        <v>493</v>
      </c>
      <c r="X86" s="119">
        <v>5744003721047</v>
      </c>
      <c r="Y86" s="157" t="s">
        <v>969</v>
      </c>
    </row>
    <row r="87" spans="1:25" ht="39.75" customHeight="1" x14ac:dyDescent="0.4">
      <c r="A87" s="1">
        <v>33899791</v>
      </c>
      <c r="B87" s="2" t="s">
        <v>494</v>
      </c>
      <c r="C87" s="3" t="s">
        <v>955</v>
      </c>
      <c r="D87" s="26" t="s">
        <v>486</v>
      </c>
      <c r="E87" s="155">
        <f t="shared" si="11"/>
        <v>452.93333333333328</v>
      </c>
      <c r="F87" s="155">
        <f t="shared" si="8"/>
        <v>557.10799999999995</v>
      </c>
      <c r="G87" s="141">
        <f t="shared" ref="G87:G92" si="12">J87/0.75</f>
        <v>105.33333333333333</v>
      </c>
      <c r="H87" s="155">
        <f t="shared" si="9"/>
        <v>339.7</v>
      </c>
      <c r="I87" s="155">
        <f t="shared" si="10"/>
        <v>417.83099999999996</v>
      </c>
      <c r="J87" s="141">
        <v>79</v>
      </c>
      <c r="K87" s="141">
        <v>61</v>
      </c>
      <c r="L87" s="156" t="s">
        <v>931</v>
      </c>
      <c r="M87" s="5" t="s">
        <v>495</v>
      </c>
      <c r="N87" s="5">
        <v>3.5</v>
      </c>
      <c r="O87" s="5" t="s">
        <v>496</v>
      </c>
      <c r="P87" s="5" t="s">
        <v>497</v>
      </c>
      <c r="Q87" s="5" t="s">
        <v>490</v>
      </c>
      <c r="R87" s="5" t="s">
        <v>31</v>
      </c>
      <c r="S87" s="133">
        <v>8544492000</v>
      </c>
      <c r="T87" s="27" t="s">
        <v>491</v>
      </c>
      <c r="U87" s="30"/>
      <c r="V87" s="27" t="s">
        <v>492</v>
      </c>
      <c r="W87" s="29" t="s">
        <v>493</v>
      </c>
      <c r="X87" s="119">
        <v>5744003721030</v>
      </c>
      <c r="Y87" s="157" t="s">
        <v>969</v>
      </c>
    </row>
    <row r="88" spans="1:25" ht="39.75" customHeight="1" x14ac:dyDescent="0.4">
      <c r="A88" s="1">
        <v>33899789</v>
      </c>
      <c r="B88" s="2" t="s">
        <v>498</v>
      </c>
      <c r="C88" s="3" t="s">
        <v>956</v>
      </c>
      <c r="D88" s="26" t="s">
        <v>486</v>
      </c>
      <c r="E88" s="155">
        <f t="shared" si="11"/>
        <v>258</v>
      </c>
      <c r="F88" s="155">
        <f t="shared" si="8"/>
        <v>317.33999999999997</v>
      </c>
      <c r="G88" s="141">
        <f t="shared" si="12"/>
        <v>60</v>
      </c>
      <c r="H88" s="155">
        <f t="shared" si="9"/>
        <v>193.5</v>
      </c>
      <c r="I88" s="155">
        <f t="shared" si="10"/>
        <v>238.005</v>
      </c>
      <c r="J88" s="141">
        <v>45</v>
      </c>
      <c r="K88" s="141">
        <v>34</v>
      </c>
      <c r="L88" s="156" t="s">
        <v>931</v>
      </c>
      <c r="M88" s="5" t="s">
        <v>499</v>
      </c>
      <c r="N88" s="5">
        <v>2.5</v>
      </c>
      <c r="O88" s="5" t="s">
        <v>500</v>
      </c>
      <c r="P88" s="5" t="s">
        <v>501</v>
      </c>
      <c r="Q88" s="5" t="s">
        <v>490</v>
      </c>
      <c r="R88" s="5" t="s">
        <v>31</v>
      </c>
      <c r="S88" s="129">
        <v>8544492000</v>
      </c>
      <c r="T88" s="27" t="s">
        <v>491</v>
      </c>
      <c r="U88" s="30"/>
      <c r="V88" s="27" t="s">
        <v>492</v>
      </c>
      <c r="W88" s="29" t="s">
        <v>493</v>
      </c>
      <c r="X88" s="119">
        <v>5744003721023</v>
      </c>
      <c r="Y88" s="157" t="s">
        <v>969</v>
      </c>
    </row>
    <row r="89" spans="1:25" ht="39.75" customHeight="1" x14ac:dyDescent="0.4">
      <c r="A89" s="1">
        <v>33899792</v>
      </c>
      <c r="B89" s="2" t="s">
        <v>502</v>
      </c>
      <c r="C89" s="3" t="s">
        <v>957</v>
      </c>
      <c r="D89" s="26" t="s">
        <v>486</v>
      </c>
      <c r="E89" s="155">
        <f t="shared" si="11"/>
        <v>796.93333333333339</v>
      </c>
      <c r="F89" s="155">
        <f t="shared" si="8"/>
        <v>980.22800000000007</v>
      </c>
      <c r="G89" s="141">
        <f t="shared" si="12"/>
        <v>185.33333333333334</v>
      </c>
      <c r="H89" s="155">
        <f t="shared" si="9"/>
        <v>597.69999999999993</v>
      </c>
      <c r="I89" s="155">
        <f t="shared" si="10"/>
        <v>735.17099999999994</v>
      </c>
      <c r="J89" s="141">
        <v>139</v>
      </c>
      <c r="K89" s="141">
        <v>105</v>
      </c>
      <c r="L89" s="156" t="s">
        <v>931</v>
      </c>
      <c r="M89" s="51" t="s">
        <v>503</v>
      </c>
      <c r="N89" s="5">
        <v>7.5</v>
      </c>
      <c r="O89" s="5" t="s">
        <v>504</v>
      </c>
      <c r="P89" s="5" t="s">
        <v>505</v>
      </c>
      <c r="Q89" s="5" t="s">
        <v>490</v>
      </c>
      <c r="R89" s="3" t="s">
        <v>31</v>
      </c>
      <c r="S89" s="134">
        <v>8544492000</v>
      </c>
      <c r="T89" s="27" t="s">
        <v>491</v>
      </c>
      <c r="U89" s="30"/>
      <c r="V89" s="27" t="s">
        <v>492</v>
      </c>
      <c r="W89" s="29" t="s">
        <v>493</v>
      </c>
      <c r="X89" s="119">
        <v>5744003721054</v>
      </c>
      <c r="Y89" s="157" t="s">
        <v>969</v>
      </c>
    </row>
    <row r="90" spans="1:25" ht="39.75" customHeight="1" x14ac:dyDescent="0.4">
      <c r="A90" s="1">
        <v>33899790</v>
      </c>
      <c r="B90" s="2" t="s">
        <v>506</v>
      </c>
      <c r="C90" s="3" t="s">
        <v>958</v>
      </c>
      <c r="D90" s="26" t="s">
        <v>486</v>
      </c>
      <c r="E90" s="155">
        <f t="shared" si="11"/>
        <v>166.26666666666665</v>
      </c>
      <c r="F90" s="155">
        <f t="shared" si="8"/>
        <v>204.50799999999998</v>
      </c>
      <c r="G90" s="141">
        <f t="shared" si="12"/>
        <v>38.666666666666664</v>
      </c>
      <c r="H90" s="155">
        <f t="shared" si="9"/>
        <v>124.69999999999999</v>
      </c>
      <c r="I90" s="155">
        <f t="shared" si="10"/>
        <v>153.38099999999997</v>
      </c>
      <c r="J90" s="141">
        <v>29</v>
      </c>
      <c r="K90" s="141">
        <v>22</v>
      </c>
      <c r="L90" s="156" t="s">
        <v>931</v>
      </c>
      <c r="M90" s="5" t="s">
        <v>507</v>
      </c>
      <c r="N90" s="5">
        <v>1.5</v>
      </c>
      <c r="O90" s="5" t="s">
        <v>508</v>
      </c>
      <c r="P90" s="5" t="s">
        <v>508</v>
      </c>
      <c r="Q90" s="5" t="s">
        <v>509</v>
      </c>
      <c r="R90" s="5" t="s">
        <v>31</v>
      </c>
      <c r="S90" s="129">
        <v>8544492000</v>
      </c>
      <c r="T90" s="27" t="s">
        <v>491</v>
      </c>
      <c r="U90" s="30"/>
      <c r="V90" s="27" t="s">
        <v>492</v>
      </c>
      <c r="W90" s="29" t="s">
        <v>493</v>
      </c>
      <c r="X90" s="126">
        <v>5744003721177</v>
      </c>
      <c r="Y90" s="157" t="s">
        <v>969</v>
      </c>
    </row>
    <row r="91" spans="1:25" ht="39.75" customHeight="1" x14ac:dyDescent="0.4">
      <c r="A91" s="22">
        <v>18270506</v>
      </c>
      <c r="B91" s="2" t="s">
        <v>510</v>
      </c>
      <c r="C91" s="3" t="s">
        <v>959</v>
      </c>
      <c r="D91" s="52" t="s">
        <v>511</v>
      </c>
      <c r="E91" s="155">
        <f t="shared" si="11"/>
        <v>63.066666666666663</v>
      </c>
      <c r="F91" s="155">
        <f t="shared" si="8"/>
        <v>77.571999999999989</v>
      </c>
      <c r="G91" s="141">
        <f t="shared" si="12"/>
        <v>14.666666666666666</v>
      </c>
      <c r="H91" s="155">
        <f t="shared" si="9"/>
        <v>47.3</v>
      </c>
      <c r="I91" s="155">
        <f t="shared" si="10"/>
        <v>58.178999999999995</v>
      </c>
      <c r="J91" s="145">
        <v>11</v>
      </c>
      <c r="K91" s="145">
        <v>8</v>
      </c>
      <c r="L91" s="156" t="s">
        <v>512</v>
      </c>
      <c r="M91" s="5" t="s">
        <v>513</v>
      </c>
      <c r="N91" s="5">
        <v>0.27</v>
      </c>
      <c r="O91" s="5" t="s">
        <v>514</v>
      </c>
      <c r="P91" s="5" t="s">
        <v>514</v>
      </c>
      <c r="Q91" s="5" t="s">
        <v>55</v>
      </c>
      <c r="R91" s="5" t="s">
        <v>31</v>
      </c>
      <c r="S91" s="129">
        <v>8544492000</v>
      </c>
      <c r="T91" s="53" t="s">
        <v>515</v>
      </c>
      <c r="U91" s="54" t="s">
        <v>24</v>
      </c>
      <c r="V91" s="53" t="s">
        <v>516</v>
      </c>
      <c r="W91" s="10" t="s">
        <v>517</v>
      </c>
      <c r="X91" s="119">
        <v>5744003721078</v>
      </c>
      <c r="Y91" s="157" t="s">
        <v>969</v>
      </c>
    </row>
    <row r="92" spans="1:25" ht="39.75" customHeight="1" x14ac:dyDescent="0.4">
      <c r="A92" s="22">
        <v>45509743</v>
      </c>
      <c r="B92" s="2" t="s">
        <v>518</v>
      </c>
      <c r="C92" s="3" t="s">
        <v>937</v>
      </c>
      <c r="D92" s="52" t="s">
        <v>511</v>
      </c>
      <c r="E92" s="155">
        <f t="shared" si="11"/>
        <v>114.66666666666667</v>
      </c>
      <c r="F92" s="155">
        <f t="shared" si="8"/>
        <v>141.04</v>
      </c>
      <c r="G92" s="141">
        <f t="shared" si="12"/>
        <v>26.666666666666668</v>
      </c>
      <c r="H92" s="155">
        <f t="shared" si="9"/>
        <v>86</v>
      </c>
      <c r="I92" s="155">
        <f t="shared" si="10"/>
        <v>105.78</v>
      </c>
      <c r="J92" s="145">
        <v>20</v>
      </c>
      <c r="K92" s="145">
        <v>15</v>
      </c>
      <c r="L92" s="4" t="s">
        <v>512</v>
      </c>
      <c r="M92" s="5" t="s">
        <v>519</v>
      </c>
      <c r="N92" s="5">
        <v>0.5</v>
      </c>
      <c r="O92" s="6" t="s">
        <v>520</v>
      </c>
      <c r="P92" s="6" t="s">
        <v>520</v>
      </c>
      <c r="Q92" s="5" t="s">
        <v>521</v>
      </c>
      <c r="R92" s="5" t="s">
        <v>31</v>
      </c>
      <c r="S92" s="129">
        <v>8544492000</v>
      </c>
      <c r="T92" s="53" t="s">
        <v>515</v>
      </c>
      <c r="U92" s="54" t="s">
        <v>24</v>
      </c>
      <c r="V92" s="53" t="s">
        <v>516</v>
      </c>
      <c r="W92" s="10" t="s">
        <v>522</v>
      </c>
      <c r="X92" s="119">
        <v>5744003721085</v>
      </c>
      <c r="Y92" s="157" t="s">
        <v>969</v>
      </c>
    </row>
    <row r="93" spans="1:25" ht="39.75" customHeight="1" x14ac:dyDescent="0.4">
      <c r="A93" s="1">
        <v>57504142</v>
      </c>
      <c r="B93" s="2" t="s">
        <v>523</v>
      </c>
      <c r="C93" s="3" t="s">
        <v>30</v>
      </c>
      <c r="D93" s="4" t="s">
        <v>524</v>
      </c>
      <c r="E93" s="155">
        <f t="shared" si="11"/>
        <v>1973.6999999999998</v>
      </c>
      <c r="F93" s="155">
        <f t="shared" si="8"/>
        <v>2427.6509999999998</v>
      </c>
      <c r="G93" s="139">
        <v>459</v>
      </c>
      <c r="H93" s="155">
        <f t="shared" si="9"/>
        <v>1754.3999999999999</v>
      </c>
      <c r="I93" s="155">
        <f t="shared" si="10"/>
        <v>2157.9119999999998</v>
      </c>
      <c r="J93" s="139">
        <v>408</v>
      </c>
      <c r="K93" s="139">
        <v>310</v>
      </c>
      <c r="L93" s="4" t="s">
        <v>525</v>
      </c>
      <c r="M93" s="55" t="s">
        <v>24</v>
      </c>
      <c r="N93" s="55" t="s">
        <v>24</v>
      </c>
      <c r="O93" s="11" t="s">
        <v>526</v>
      </c>
      <c r="P93" s="15" t="s">
        <v>24</v>
      </c>
      <c r="Q93" s="56" t="s">
        <v>24</v>
      </c>
      <c r="R93" s="5" t="s">
        <v>527</v>
      </c>
      <c r="S93" s="129">
        <v>5703310000</v>
      </c>
      <c r="T93" s="8" t="s">
        <v>528</v>
      </c>
      <c r="U93" s="57" t="s">
        <v>529</v>
      </c>
      <c r="V93" s="8" t="s">
        <v>530</v>
      </c>
      <c r="W93" s="58" t="s">
        <v>531</v>
      </c>
      <c r="X93" s="119">
        <v>5744003721481</v>
      </c>
      <c r="Y93" s="157" t="s">
        <v>969</v>
      </c>
    </row>
    <row r="94" spans="1:25" ht="39.75" customHeight="1" x14ac:dyDescent="0.4">
      <c r="A94" s="1">
        <v>60509397</v>
      </c>
      <c r="B94" s="21" t="s">
        <v>532</v>
      </c>
      <c r="C94" s="3" t="s">
        <v>533</v>
      </c>
      <c r="D94" s="4" t="s">
        <v>532</v>
      </c>
      <c r="E94" s="155">
        <f t="shared" si="11"/>
        <v>941.69999999999993</v>
      </c>
      <c r="F94" s="155">
        <f t="shared" si="8"/>
        <v>1158.2909999999999</v>
      </c>
      <c r="G94" s="139">
        <v>219</v>
      </c>
      <c r="H94" s="155">
        <f t="shared" si="9"/>
        <v>812.69999999999993</v>
      </c>
      <c r="I94" s="155">
        <f t="shared" si="10"/>
        <v>999.62099999999987</v>
      </c>
      <c r="J94" s="139">
        <v>189</v>
      </c>
      <c r="K94" s="139">
        <v>145</v>
      </c>
      <c r="L94" s="12" t="s">
        <v>534</v>
      </c>
      <c r="M94" s="5" t="s">
        <v>535</v>
      </c>
      <c r="N94" s="5">
        <v>1</v>
      </c>
      <c r="O94" s="5" t="s">
        <v>536</v>
      </c>
      <c r="P94" s="5" t="s">
        <v>537</v>
      </c>
      <c r="Q94" s="5" t="s">
        <v>538</v>
      </c>
      <c r="R94" s="5" t="s">
        <v>31</v>
      </c>
      <c r="S94" s="129">
        <v>9028301100</v>
      </c>
      <c r="T94" s="8" t="s">
        <v>539</v>
      </c>
      <c r="U94" s="8" t="s">
        <v>540</v>
      </c>
      <c r="V94" s="8" t="s">
        <v>541</v>
      </c>
      <c r="W94" s="29" t="s">
        <v>542</v>
      </c>
      <c r="X94" s="119">
        <v>5744003721221</v>
      </c>
      <c r="Y94" s="157" t="s">
        <v>969</v>
      </c>
    </row>
    <row r="95" spans="1:25" ht="39.75" customHeight="1" x14ac:dyDescent="0.4">
      <c r="A95" s="1">
        <v>60503581</v>
      </c>
      <c r="B95" s="21" t="s">
        <v>543</v>
      </c>
      <c r="C95" s="3" t="s">
        <v>30</v>
      </c>
      <c r="D95" s="4" t="s">
        <v>544</v>
      </c>
      <c r="E95" s="155">
        <f t="shared" si="11"/>
        <v>206.39999999999998</v>
      </c>
      <c r="F95" s="155">
        <f t="shared" si="8"/>
        <v>253.87199999999996</v>
      </c>
      <c r="G95" s="139">
        <v>48</v>
      </c>
      <c r="H95" s="155">
        <f t="shared" si="9"/>
        <v>137.6</v>
      </c>
      <c r="I95" s="155">
        <f t="shared" si="10"/>
        <v>169.24799999999999</v>
      </c>
      <c r="J95" s="139">
        <v>32</v>
      </c>
      <c r="K95" s="139">
        <v>25</v>
      </c>
      <c r="L95" s="4" t="s">
        <v>545</v>
      </c>
      <c r="M95" s="5" t="s">
        <v>546</v>
      </c>
      <c r="N95" s="5">
        <v>0.28999999999999998</v>
      </c>
      <c r="O95" s="5" t="s">
        <v>547</v>
      </c>
      <c r="P95" s="5" t="s">
        <v>547</v>
      </c>
      <c r="Q95" s="5" t="s">
        <v>350</v>
      </c>
      <c r="R95" s="5" t="s">
        <v>548</v>
      </c>
      <c r="S95" s="119">
        <v>8203200000</v>
      </c>
      <c r="T95" s="38" t="s">
        <v>549</v>
      </c>
      <c r="U95" s="8" t="s">
        <v>550</v>
      </c>
      <c r="V95" s="8" t="s">
        <v>551</v>
      </c>
      <c r="W95" s="10" t="s">
        <v>552</v>
      </c>
      <c r="X95" s="119">
        <v>5744003720958</v>
      </c>
      <c r="Y95" s="157" t="s">
        <v>969</v>
      </c>
    </row>
    <row r="96" spans="1:25" ht="39.75" customHeight="1" x14ac:dyDescent="0.4">
      <c r="A96" s="1">
        <v>60503597</v>
      </c>
      <c r="B96" s="21" t="s">
        <v>553</v>
      </c>
      <c r="C96" s="10" t="s">
        <v>554</v>
      </c>
      <c r="D96" s="26" t="s">
        <v>553</v>
      </c>
      <c r="E96" s="155">
        <f t="shared" si="11"/>
        <v>98.899999999999991</v>
      </c>
      <c r="F96" s="155">
        <f t="shared" si="8"/>
        <v>121.64699999999999</v>
      </c>
      <c r="G96" s="141">
        <v>23</v>
      </c>
      <c r="H96" s="155">
        <f t="shared" si="9"/>
        <v>77.399999999999991</v>
      </c>
      <c r="I96" s="155">
        <f t="shared" si="10"/>
        <v>95.201999999999984</v>
      </c>
      <c r="J96" s="141">
        <v>18</v>
      </c>
      <c r="K96" s="141">
        <v>14</v>
      </c>
      <c r="L96" s="12" t="s">
        <v>555</v>
      </c>
      <c r="M96" s="5" t="s">
        <v>556</v>
      </c>
      <c r="N96" s="5">
        <v>0.45</v>
      </c>
      <c r="O96" s="5" t="s">
        <v>557</v>
      </c>
      <c r="P96" s="5" t="s">
        <v>557</v>
      </c>
      <c r="Q96" s="5" t="s">
        <v>558</v>
      </c>
      <c r="R96" s="5" t="s">
        <v>31</v>
      </c>
      <c r="S96" s="133">
        <v>9028301100</v>
      </c>
      <c r="T96" s="8" t="s">
        <v>559</v>
      </c>
      <c r="U96" s="30"/>
      <c r="V96" s="30"/>
      <c r="W96" s="10" t="s">
        <v>560</v>
      </c>
      <c r="X96" s="120">
        <v>5744003720002</v>
      </c>
      <c r="Y96" s="157" t="s">
        <v>969</v>
      </c>
    </row>
    <row r="97" spans="1:25" ht="39.75" customHeight="1" x14ac:dyDescent="0.4">
      <c r="A97" s="1">
        <v>70509598</v>
      </c>
      <c r="B97" s="20" t="s">
        <v>561</v>
      </c>
      <c r="C97" s="3" t="s">
        <v>562</v>
      </c>
      <c r="D97" s="4" t="s">
        <v>563</v>
      </c>
      <c r="E97" s="155">
        <f t="shared" si="11"/>
        <v>344</v>
      </c>
      <c r="F97" s="155">
        <f t="shared" si="8"/>
        <v>423.12</v>
      </c>
      <c r="G97" s="139">
        <v>80</v>
      </c>
      <c r="H97" s="155">
        <f t="shared" si="9"/>
        <v>283.8</v>
      </c>
      <c r="I97" s="155">
        <f t="shared" si="10"/>
        <v>349.07400000000001</v>
      </c>
      <c r="J97" s="139">
        <v>66</v>
      </c>
      <c r="K97" s="139">
        <v>50</v>
      </c>
      <c r="L97" s="12" t="s">
        <v>564</v>
      </c>
      <c r="M97" s="5" t="s">
        <v>565</v>
      </c>
      <c r="N97" s="5">
        <v>0.7</v>
      </c>
      <c r="O97" s="5" t="s">
        <v>566</v>
      </c>
      <c r="P97" s="5" t="s">
        <v>567</v>
      </c>
      <c r="Q97" s="5" t="s">
        <v>568</v>
      </c>
      <c r="R97" s="5" t="s">
        <v>31</v>
      </c>
      <c r="S97" s="129">
        <v>8506509090</v>
      </c>
      <c r="T97" s="40" t="s">
        <v>24</v>
      </c>
      <c r="U97" s="40" t="s">
        <v>24</v>
      </c>
      <c r="V97" s="40" t="s">
        <v>24</v>
      </c>
      <c r="W97" s="10" t="s">
        <v>569</v>
      </c>
      <c r="X97" s="119">
        <v>5744003721238</v>
      </c>
      <c r="Y97" s="157" t="s">
        <v>969</v>
      </c>
    </row>
    <row r="98" spans="1:25" ht="39.75" customHeight="1" x14ac:dyDescent="0.4">
      <c r="A98" s="22">
        <v>62691699</v>
      </c>
      <c r="B98" s="21" t="s">
        <v>570</v>
      </c>
      <c r="C98" s="29" t="s">
        <v>571</v>
      </c>
      <c r="D98" s="4" t="s">
        <v>563</v>
      </c>
      <c r="E98" s="155">
        <f t="shared" si="11"/>
        <v>731</v>
      </c>
      <c r="F98" s="155">
        <f t="shared" si="8"/>
        <v>899.13</v>
      </c>
      <c r="G98" s="139">
        <v>170</v>
      </c>
      <c r="H98" s="155">
        <f t="shared" si="9"/>
        <v>597.69999999999993</v>
      </c>
      <c r="I98" s="155">
        <f t="shared" si="10"/>
        <v>735.17099999999994</v>
      </c>
      <c r="J98" s="139">
        <v>139</v>
      </c>
      <c r="K98" s="139">
        <v>105</v>
      </c>
      <c r="L98" s="39" t="s">
        <v>572</v>
      </c>
      <c r="M98" s="6" t="s">
        <v>573</v>
      </c>
      <c r="N98" s="39">
        <v>2.2999999999999998</v>
      </c>
      <c r="O98" s="39" t="s">
        <v>574</v>
      </c>
      <c r="P98" s="39" t="s">
        <v>575</v>
      </c>
      <c r="Q98" s="39" t="s">
        <v>509</v>
      </c>
      <c r="R98" s="5" t="s">
        <v>31</v>
      </c>
      <c r="S98" s="119">
        <v>8467229000</v>
      </c>
      <c r="T98" s="8" t="s">
        <v>576</v>
      </c>
      <c r="U98" s="8" t="s">
        <v>577</v>
      </c>
      <c r="V98" s="8" t="s">
        <v>578</v>
      </c>
      <c r="W98" s="10" t="s">
        <v>579</v>
      </c>
      <c r="X98" s="119">
        <v>5744003720934</v>
      </c>
      <c r="Y98" s="157" t="s">
        <v>969</v>
      </c>
    </row>
    <row r="99" spans="1:25" ht="39.75" customHeight="1" x14ac:dyDescent="0.4">
      <c r="A99" s="1">
        <v>57504114</v>
      </c>
      <c r="B99" s="2" t="s">
        <v>524</v>
      </c>
      <c r="C99" s="58" t="s">
        <v>30</v>
      </c>
      <c r="D99" s="4" t="s">
        <v>524</v>
      </c>
      <c r="E99" s="155">
        <f t="shared" si="11"/>
        <v>137.6</v>
      </c>
      <c r="F99" s="155">
        <f t="shared" si="8"/>
        <v>169.24799999999999</v>
      </c>
      <c r="G99" s="139">
        <v>32</v>
      </c>
      <c r="H99" s="155">
        <f t="shared" si="9"/>
        <v>86</v>
      </c>
      <c r="I99" s="155">
        <f t="shared" si="10"/>
        <v>105.78</v>
      </c>
      <c r="J99" s="139">
        <v>20</v>
      </c>
      <c r="K99" s="139">
        <v>15</v>
      </c>
      <c r="L99" s="12" t="s">
        <v>580</v>
      </c>
      <c r="M99" s="39" t="s">
        <v>581</v>
      </c>
      <c r="N99" s="11">
        <v>0.57999999999999996</v>
      </c>
      <c r="O99" s="11" t="s">
        <v>582</v>
      </c>
      <c r="P99" s="39" t="s">
        <v>581</v>
      </c>
      <c r="Q99" s="39" t="s">
        <v>350</v>
      </c>
      <c r="R99" s="5" t="s">
        <v>527</v>
      </c>
      <c r="S99" s="129">
        <v>5703310000</v>
      </c>
      <c r="T99" s="8" t="s">
        <v>528</v>
      </c>
      <c r="U99" s="57" t="s">
        <v>529</v>
      </c>
      <c r="V99" s="8" t="s">
        <v>583</v>
      </c>
      <c r="W99" s="58" t="s">
        <v>531</v>
      </c>
      <c r="X99" s="119">
        <v>5744003721245</v>
      </c>
      <c r="Y99" s="157" t="s">
        <v>969</v>
      </c>
    </row>
    <row r="100" spans="1:25" ht="39.75" customHeight="1" x14ac:dyDescent="0.4">
      <c r="A100" s="1">
        <v>90979796</v>
      </c>
      <c r="B100" s="59" t="s">
        <v>584</v>
      </c>
      <c r="C100" s="58" t="s">
        <v>585</v>
      </c>
      <c r="D100" s="4" t="s">
        <v>586</v>
      </c>
      <c r="E100" s="155">
        <f t="shared" si="11"/>
        <v>12040</v>
      </c>
      <c r="F100" s="155">
        <f t="shared" si="8"/>
        <v>14809.199999999999</v>
      </c>
      <c r="G100" s="139">
        <v>2800</v>
      </c>
      <c r="H100" s="155">
        <f t="shared" si="9"/>
        <v>11610</v>
      </c>
      <c r="I100" s="155">
        <f t="shared" si="10"/>
        <v>14280.3</v>
      </c>
      <c r="J100" s="139">
        <v>2700</v>
      </c>
      <c r="K100" s="139">
        <v>2600</v>
      </c>
      <c r="L100" s="12" t="s">
        <v>587</v>
      </c>
      <c r="M100" s="3" t="s">
        <v>588</v>
      </c>
      <c r="N100" s="7">
        <v>38</v>
      </c>
      <c r="O100" s="3" t="s">
        <v>588</v>
      </c>
      <c r="P100" s="3" t="s">
        <v>588</v>
      </c>
      <c r="Q100" s="5" t="s">
        <v>30</v>
      </c>
      <c r="R100" s="5" t="s">
        <v>31</v>
      </c>
      <c r="S100" s="129">
        <v>8432291000</v>
      </c>
      <c r="T100" s="8" t="s">
        <v>589</v>
      </c>
      <c r="U100" s="8" t="s">
        <v>590</v>
      </c>
      <c r="V100" s="8" t="s">
        <v>591</v>
      </c>
      <c r="W100" s="10" t="s">
        <v>592</v>
      </c>
      <c r="X100" s="125">
        <v>5744003721399</v>
      </c>
      <c r="Y100" s="157" t="s">
        <v>969</v>
      </c>
    </row>
    <row r="101" spans="1:25" ht="39.75" customHeight="1" x14ac:dyDescent="0.4">
      <c r="A101" s="1">
        <v>90474584</v>
      </c>
      <c r="B101" s="2" t="s">
        <v>593</v>
      </c>
      <c r="C101" s="60" t="s">
        <v>594</v>
      </c>
      <c r="D101" s="4" t="s">
        <v>595</v>
      </c>
      <c r="E101" s="155">
        <f t="shared" si="11"/>
        <v>494.5</v>
      </c>
      <c r="F101" s="155">
        <f t="shared" si="8"/>
        <v>608.23500000000001</v>
      </c>
      <c r="G101" s="139">
        <v>115</v>
      </c>
      <c r="H101" s="155">
        <f t="shared" si="9"/>
        <v>425.7</v>
      </c>
      <c r="I101" s="155">
        <f t="shared" si="10"/>
        <v>523.61099999999999</v>
      </c>
      <c r="J101" s="139">
        <v>99</v>
      </c>
      <c r="K101" s="139">
        <v>75</v>
      </c>
      <c r="L101" s="12" t="s">
        <v>596</v>
      </c>
      <c r="M101" s="6" t="s">
        <v>597</v>
      </c>
      <c r="N101" s="7">
        <v>0.1</v>
      </c>
      <c r="O101" s="5" t="s">
        <v>598</v>
      </c>
      <c r="P101" s="5" t="s">
        <v>599</v>
      </c>
      <c r="Q101" s="5" t="s">
        <v>600</v>
      </c>
      <c r="R101" s="5" t="s">
        <v>31</v>
      </c>
      <c r="S101" s="129">
        <v>8208400000</v>
      </c>
      <c r="T101" s="61" t="s">
        <v>601</v>
      </c>
      <c r="U101" s="62" t="s">
        <v>24</v>
      </c>
      <c r="V101" s="62" t="s">
        <v>24</v>
      </c>
      <c r="W101" s="10" t="s">
        <v>602</v>
      </c>
      <c r="X101" s="119">
        <v>5744003721344</v>
      </c>
      <c r="Y101" s="157" t="s">
        <v>969</v>
      </c>
    </row>
    <row r="102" spans="1:25" ht="39.75" customHeight="1" x14ac:dyDescent="0.4">
      <c r="A102" s="1">
        <v>90973596</v>
      </c>
      <c r="B102" s="2" t="s">
        <v>603</v>
      </c>
      <c r="C102" s="3" t="s">
        <v>30</v>
      </c>
      <c r="D102" s="7" t="s">
        <v>24</v>
      </c>
      <c r="E102" s="155">
        <f t="shared" si="11"/>
        <v>8600</v>
      </c>
      <c r="F102" s="155">
        <f t="shared" si="8"/>
        <v>10578</v>
      </c>
      <c r="G102" s="146">
        <v>2000</v>
      </c>
      <c r="H102" s="155">
        <f t="shared" si="9"/>
        <v>6875.7</v>
      </c>
      <c r="I102" s="155">
        <f t="shared" si="10"/>
        <v>8457.110999999999</v>
      </c>
      <c r="J102" s="146">
        <v>1599</v>
      </c>
      <c r="K102" s="146">
        <v>1399</v>
      </c>
      <c r="L102" s="4" t="s">
        <v>604</v>
      </c>
      <c r="M102" s="14" t="s">
        <v>24</v>
      </c>
      <c r="N102" s="14" t="s">
        <v>24</v>
      </c>
      <c r="O102" s="15" t="s">
        <v>24</v>
      </c>
      <c r="P102" s="15" t="s">
        <v>24</v>
      </c>
      <c r="Q102" s="15" t="s">
        <v>24</v>
      </c>
      <c r="R102" s="5" t="s">
        <v>24</v>
      </c>
      <c r="S102" s="129">
        <v>8432291000</v>
      </c>
      <c r="T102" s="63" t="s">
        <v>605</v>
      </c>
      <c r="U102" s="8" t="s">
        <v>606</v>
      </c>
      <c r="V102" s="7" t="s">
        <v>24</v>
      </c>
      <c r="W102" s="10" t="s">
        <v>607</v>
      </c>
      <c r="X102" s="119">
        <v>5744003721573</v>
      </c>
      <c r="Y102" s="157" t="s">
        <v>969</v>
      </c>
    </row>
    <row r="103" spans="1:25" ht="39.75" customHeight="1" x14ac:dyDescent="0.4">
      <c r="A103" s="1">
        <v>90978896</v>
      </c>
      <c r="B103" s="2" t="s">
        <v>608</v>
      </c>
      <c r="C103" s="64" t="s">
        <v>609</v>
      </c>
      <c r="D103" s="52" t="s">
        <v>610</v>
      </c>
      <c r="E103" s="155">
        <f t="shared" si="11"/>
        <v>10320</v>
      </c>
      <c r="F103" s="155">
        <f t="shared" si="8"/>
        <v>12693.6</v>
      </c>
      <c r="G103" s="145">
        <v>2400</v>
      </c>
      <c r="H103" s="155">
        <f t="shared" si="9"/>
        <v>9890</v>
      </c>
      <c r="I103" s="155">
        <f t="shared" si="10"/>
        <v>12164.7</v>
      </c>
      <c r="J103" s="145">
        <v>2300</v>
      </c>
      <c r="K103" s="145">
        <v>2200</v>
      </c>
      <c r="L103" s="46" t="s">
        <v>611</v>
      </c>
      <c r="M103" s="65" t="s">
        <v>612</v>
      </c>
      <c r="N103" s="66">
        <v>38</v>
      </c>
      <c r="O103" s="65" t="s">
        <v>612</v>
      </c>
      <c r="P103" s="65" t="s">
        <v>588</v>
      </c>
      <c r="Q103" s="18" t="s">
        <v>30</v>
      </c>
      <c r="R103" s="18" t="s">
        <v>31</v>
      </c>
      <c r="S103" s="135">
        <v>8432291000</v>
      </c>
      <c r="T103" s="10" t="s">
        <v>613</v>
      </c>
      <c r="U103" s="67" t="s">
        <v>614</v>
      </c>
      <c r="V103" s="67" t="s">
        <v>615</v>
      </c>
      <c r="W103" s="68" t="s">
        <v>616</v>
      </c>
      <c r="X103" s="119">
        <v>5744003721184</v>
      </c>
      <c r="Y103" s="157" t="s">
        <v>969</v>
      </c>
    </row>
    <row r="104" spans="1:25" ht="39.75" customHeight="1" x14ac:dyDescent="0.4">
      <c r="A104" s="1">
        <v>90879978</v>
      </c>
      <c r="B104" s="2" t="s">
        <v>617</v>
      </c>
      <c r="C104" s="69" t="s">
        <v>618</v>
      </c>
      <c r="D104" s="42" t="s">
        <v>619</v>
      </c>
      <c r="E104" s="155">
        <f t="shared" si="11"/>
        <v>94.6</v>
      </c>
      <c r="F104" s="155">
        <f t="shared" si="8"/>
        <v>116.35799999999999</v>
      </c>
      <c r="G104" s="147">
        <v>22</v>
      </c>
      <c r="H104" s="155">
        <f t="shared" si="9"/>
        <v>64.5</v>
      </c>
      <c r="I104" s="155">
        <f t="shared" si="10"/>
        <v>79.334999999999994</v>
      </c>
      <c r="J104" s="147">
        <v>15</v>
      </c>
      <c r="K104" s="147">
        <v>11</v>
      </c>
      <c r="L104" s="12" t="s">
        <v>596</v>
      </c>
      <c r="M104" s="6" t="s">
        <v>620</v>
      </c>
      <c r="N104" s="7">
        <v>0.1</v>
      </c>
      <c r="O104" s="5" t="s">
        <v>598</v>
      </c>
      <c r="P104" s="5" t="s">
        <v>599</v>
      </c>
      <c r="Q104" s="5" t="s">
        <v>284</v>
      </c>
      <c r="R104" s="5" t="s">
        <v>31</v>
      </c>
      <c r="S104" s="129">
        <v>8208400000</v>
      </c>
      <c r="T104" s="70" t="s">
        <v>601</v>
      </c>
      <c r="U104" s="62" t="s">
        <v>24</v>
      </c>
      <c r="V104" s="62" t="s">
        <v>24</v>
      </c>
      <c r="W104" s="68" t="s">
        <v>602</v>
      </c>
      <c r="X104" s="119">
        <v>5744003721405</v>
      </c>
      <c r="Y104" s="157" t="s">
        <v>969</v>
      </c>
    </row>
    <row r="105" spans="1:25" ht="39.75" customHeight="1" x14ac:dyDescent="0.4">
      <c r="A105" s="1">
        <v>89879499</v>
      </c>
      <c r="B105" s="2" t="s">
        <v>621</v>
      </c>
      <c r="C105" s="58" t="s">
        <v>622</v>
      </c>
      <c r="D105" s="52" t="s">
        <v>621</v>
      </c>
      <c r="E105" s="155">
        <f t="shared" si="11"/>
        <v>180.6</v>
      </c>
      <c r="F105" s="155">
        <f t="shared" si="8"/>
        <v>222.13799999999998</v>
      </c>
      <c r="G105" s="145">
        <v>42</v>
      </c>
      <c r="H105" s="155">
        <f t="shared" si="9"/>
        <v>137.6</v>
      </c>
      <c r="I105" s="155">
        <f t="shared" si="10"/>
        <v>169.24799999999999</v>
      </c>
      <c r="J105" s="145">
        <v>32</v>
      </c>
      <c r="K105" s="145">
        <v>24</v>
      </c>
      <c r="L105" s="46" t="s">
        <v>623</v>
      </c>
      <c r="M105" s="7" t="s">
        <v>624</v>
      </c>
      <c r="N105" s="7">
        <v>1</v>
      </c>
      <c r="O105" s="5" t="s">
        <v>625</v>
      </c>
      <c r="P105" s="18" t="s">
        <v>626</v>
      </c>
      <c r="Q105" s="5" t="s">
        <v>350</v>
      </c>
      <c r="R105" s="5" t="s">
        <v>627</v>
      </c>
      <c r="S105" s="132">
        <v>9015804000</v>
      </c>
      <c r="T105" s="67" t="s">
        <v>628</v>
      </c>
      <c r="U105" s="71" t="s">
        <v>24</v>
      </c>
      <c r="V105" s="71" t="s">
        <v>24</v>
      </c>
      <c r="W105" s="10" t="s">
        <v>629</v>
      </c>
      <c r="X105" s="123">
        <v>5744003721443</v>
      </c>
      <c r="Y105" s="157" t="s">
        <v>969</v>
      </c>
    </row>
    <row r="106" spans="1:25" ht="39.75" customHeight="1" x14ac:dyDescent="0.4">
      <c r="A106" s="72">
        <v>40690124</v>
      </c>
      <c r="B106" s="73" t="s">
        <v>630</v>
      </c>
      <c r="C106" s="74" t="s">
        <v>631</v>
      </c>
      <c r="D106" s="52" t="s">
        <v>632</v>
      </c>
      <c r="E106" s="155">
        <f t="shared" si="11"/>
        <v>51.599999999999994</v>
      </c>
      <c r="F106" s="155">
        <f t="shared" si="8"/>
        <v>63.467999999999989</v>
      </c>
      <c r="G106" s="145">
        <v>12</v>
      </c>
      <c r="H106" s="155">
        <f t="shared" si="9"/>
        <v>38.699999999999996</v>
      </c>
      <c r="I106" s="155">
        <f t="shared" si="10"/>
        <v>47.600999999999992</v>
      </c>
      <c r="J106" s="145">
        <v>9</v>
      </c>
      <c r="K106" s="145">
        <v>6.5</v>
      </c>
      <c r="L106" s="46" t="s">
        <v>633</v>
      </c>
      <c r="M106" s="18" t="s">
        <v>634</v>
      </c>
      <c r="N106" s="18">
        <v>0.45</v>
      </c>
      <c r="O106" s="18">
        <v>8.5</v>
      </c>
      <c r="P106" s="18" t="s">
        <v>635</v>
      </c>
      <c r="Q106" s="18" t="s">
        <v>600</v>
      </c>
      <c r="R106" s="18" t="s">
        <v>636</v>
      </c>
      <c r="S106" s="135">
        <v>39269097</v>
      </c>
      <c r="T106" s="67" t="s">
        <v>637</v>
      </c>
      <c r="U106" s="67" t="s">
        <v>638</v>
      </c>
      <c r="V106" s="71" t="s">
        <v>24</v>
      </c>
      <c r="W106" s="68" t="s">
        <v>639</v>
      </c>
      <c r="X106" s="123">
        <v>5744003720286</v>
      </c>
      <c r="Y106" s="157" t="s">
        <v>969</v>
      </c>
    </row>
    <row r="107" spans="1:25" ht="39.75" customHeight="1" x14ac:dyDescent="0.4">
      <c r="A107" s="72">
        <v>41550126</v>
      </c>
      <c r="B107" s="75" t="s">
        <v>640</v>
      </c>
      <c r="C107" s="76" t="s">
        <v>641</v>
      </c>
      <c r="D107" s="52" t="s">
        <v>642</v>
      </c>
      <c r="E107" s="155">
        <f t="shared" si="11"/>
        <v>25.799999999999997</v>
      </c>
      <c r="F107" s="155">
        <f t="shared" si="8"/>
        <v>31.733999999999995</v>
      </c>
      <c r="G107" s="145">
        <v>6</v>
      </c>
      <c r="H107" s="155">
        <f t="shared" si="9"/>
        <v>17.2</v>
      </c>
      <c r="I107" s="155">
        <f t="shared" si="10"/>
        <v>21.155999999999999</v>
      </c>
      <c r="J107" s="145">
        <v>4</v>
      </c>
      <c r="K107" s="145">
        <v>3</v>
      </c>
      <c r="L107" s="77" t="s">
        <v>643</v>
      </c>
      <c r="M107" s="66" t="s">
        <v>644</v>
      </c>
      <c r="N107" s="66">
        <v>0.11799999999999999</v>
      </c>
      <c r="O107" s="18">
        <v>18</v>
      </c>
      <c r="P107" s="18" t="s">
        <v>645</v>
      </c>
      <c r="Q107" s="18" t="s">
        <v>558</v>
      </c>
      <c r="R107" s="18" t="s">
        <v>646</v>
      </c>
      <c r="S107" s="135">
        <v>39269097</v>
      </c>
      <c r="T107" s="67" t="s">
        <v>647</v>
      </c>
      <c r="U107" s="67" t="s">
        <v>648</v>
      </c>
      <c r="V107" s="67" t="s">
        <v>649</v>
      </c>
      <c r="W107" s="68" t="s">
        <v>650</v>
      </c>
      <c r="X107" s="123">
        <v>5744003720972</v>
      </c>
      <c r="Y107" s="157" t="s">
        <v>969</v>
      </c>
    </row>
    <row r="108" spans="1:25" ht="39.75" customHeight="1" x14ac:dyDescent="0.4">
      <c r="A108" s="78">
        <v>40690126</v>
      </c>
      <c r="B108" s="73" t="s">
        <v>651</v>
      </c>
      <c r="C108" s="79" t="s">
        <v>652</v>
      </c>
      <c r="D108" s="52" t="s">
        <v>653</v>
      </c>
      <c r="E108" s="155">
        <f t="shared" si="11"/>
        <v>51.599999999999994</v>
      </c>
      <c r="F108" s="155">
        <f t="shared" si="8"/>
        <v>63.467999999999989</v>
      </c>
      <c r="G108" s="145">
        <v>12</v>
      </c>
      <c r="H108" s="155">
        <f t="shared" si="9"/>
        <v>38.699999999999996</v>
      </c>
      <c r="I108" s="155">
        <f t="shared" si="10"/>
        <v>47.600999999999992</v>
      </c>
      <c r="J108" s="145">
        <v>9</v>
      </c>
      <c r="K108" s="145">
        <v>6.5</v>
      </c>
      <c r="L108" s="46" t="s">
        <v>654</v>
      </c>
      <c r="M108" s="18" t="s">
        <v>655</v>
      </c>
      <c r="N108" s="18">
        <v>0.51</v>
      </c>
      <c r="O108" s="5">
        <v>8.5</v>
      </c>
      <c r="P108" s="5" t="s">
        <v>635</v>
      </c>
      <c r="Q108" s="18" t="s">
        <v>656</v>
      </c>
      <c r="R108" s="18" t="s">
        <v>636</v>
      </c>
      <c r="S108" s="135">
        <v>39269097</v>
      </c>
      <c r="T108" s="67" t="s">
        <v>657</v>
      </c>
      <c r="U108" s="67" t="s">
        <v>658</v>
      </c>
      <c r="V108" s="80" t="s">
        <v>24</v>
      </c>
      <c r="W108" s="68" t="s">
        <v>659</v>
      </c>
      <c r="X108" s="119">
        <v>5744003720965</v>
      </c>
      <c r="Y108" s="157" t="s">
        <v>969</v>
      </c>
    </row>
    <row r="109" spans="1:25" ht="39.75" customHeight="1" x14ac:dyDescent="0.4">
      <c r="A109" s="81">
        <v>40690125</v>
      </c>
      <c r="B109" s="21" t="s">
        <v>660</v>
      </c>
      <c r="C109" s="79" t="s">
        <v>661</v>
      </c>
      <c r="D109" s="52" t="s">
        <v>662</v>
      </c>
      <c r="E109" s="155">
        <f t="shared" si="11"/>
        <v>43</v>
      </c>
      <c r="F109" s="155">
        <f t="shared" si="8"/>
        <v>52.89</v>
      </c>
      <c r="G109" s="145">
        <v>10</v>
      </c>
      <c r="H109" s="155">
        <f t="shared" si="9"/>
        <v>30.099999999999998</v>
      </c>
      <c r="I109" s="155">
        <f t="shared" si="10"/>
        <v>37.022999999999996</v>
      </c>
      <c r="J109" s="145">
        <v>7</v>
      </c>
      <c r="K109" s="145">
        <v>5</v>
      </c>
      <c r="L109" s="46" t="s">
        <v>663</v>
      </c>
      <c r="M109" s="5" t="s">
        <v>664</v>
      </c>
      <c r="N109" s="5">
        <v>0.33</v>
      </c>
      <c r="O109" s="5">
        <v>8.5</v>
      </c>
      <c r="P109" s="5" t="s">
        <v>665</v>
      </c>
      <c r="Q109" s="18" t="s">
        <v>666</v>
      </c>
      <c r="R109" s="18" t="s">
        <v>667</v>
      </c>
      <c r="S109" s="135">
        <v>39269097</v>
      </c>
      <c r="T109" s="67" t="s">
        <v>668</v>
      </c>
      <c r="U109" s="67" t="s">
        <v>669</v>
      </c>
      <c r="V109" s="80" t="s">
        <v>24</v>
      </c>
      <c r="W109" s="68" t="s">
        <v>670</v>
      </c>
      <c r="X109" s="123">
        <v>5744003720989</v>
      </c>
      <c r="Y109" s="157" t="s">
        <v>969</v>
      </c>
    </row>
    <row r="110" spans="1:25" ht="39.75" customHeight="1" x14ac:dyDescent="0.4">
      <c r="A110" s="72">
        <v>40690123</v>
      </c>
      <c r="B110" s="82" t="s">
        <v>671</v>
      </c>
      <c r="C110" s="74" t="s">
        <v>672</v>
      </c>
      <c r="D110" s="26" t="s">
        <v>673</v>
      </c>
      <c r="E110" s="155">
        <f t="shared" si="11"/>
        <v>43</v>
      </c>
      <c r="F110" s="155">
        <f t="shared" si="8"/>
        <v>52.89</v>
      </c>
      <c r="G110" s="141">
        <v>10</v>
      </c>
      <c r="H110" s="155">
        <f t="shared" si="9"/>
        <v>30.099999999999998</v>
      </c>
      <c r="I110" s="155">
        <f t="shared" si="10"/>
        <v>37.022999999999996</v>
      </c>
      <c r="J110" s="141">
        <v>7</v>
      </c>
      <c r="K110" s="141">
        <v>5</v>
      </c>
      <c r="L110" s="46" t="s">
        <v>674</v>
      </c>
      <c r="M110" s="18" t="s">
        <v>675</v>
      </c>
      <c r="N110" s="18">
        <v>0.41</v>
      </c>
      <c r="O110" s="18">
        <v>8.5</v>
      </c>
      <c r="P110" s="18" t="s">
        <v>665</v>
      </c>
      <c r="Q110" s="18" t="s">
        <v>413</v>
      </c>
      <c r="R110" s="18" t="s">
        <v>667</v>
      </c>
      <c r="S110" s="133">
        <v>39269097</v>
      </c>
      <c r="T110" s="83" t="s">
        <v>676</v>
      </c>
      <c r="U110" s="83" t="s">
        <v>677</v>
      </c>
      <c r="V110" s="84"/>
      <c r="W110" s="68" t="s">
        <v>678</v>
      </c>
      <c r="X110" s="123">
        <v>5744003720996</v>
      </c>
      <c r="Y110" s="157" t="s">
        <v>969</v>
      </c>
    </row>
    <row r="111" spans="1:25" ht="39.75" customHeight="1" x14ac:dyDescent="0.4">
      <c r="A111" s="85">
        <v>47470139</v>
      </c>
      <c r="B111" s="86" t="s">
        <v>679</v>
      </c>
      <c r="C111" s="74" t="s">
        <v>680</v>
      </c>
      <c r="D111" s="52" t="s">
        <v>681</v>
      </c>
      <c r="E111" s="155">
        <f t="shared" si="11"/>
        <v>64.5</v>
      </c>
      <c r="F111" s="155">
        <f t="shared" si="8"/>
        <v>79.334999999999994</v>
      </c>
      <c r="G111" s="145">
        <v>15</v>
      </c>
      <c r="H111" s="155">
        <f t="shared" si="9"/>
        <v>47.3</v>
      </c>
      <c r="I111" s="155">
        <f t="shared" si="10"/>
        <v>58.178999999999995</v>
      </c>
      <c r="J111" s="145">
        <v>11</v>
      </c>
      <c r="K111" s="145">
        <v>8</v>
      </c>
      <c r="L111" s="46" t="s">
        <v>682</v>
      </c>
      <c r="M111" s="87" t="s">
        <v>683</v>
      </c>
      <c r="N111" s="66">
        <v>0.28749999999999998</v>
      </c>
      <c r="O111" s="87" t="s">
        <v>684</v>
      </c>
      <c r="P111" s="87" t="s">
        <v>685</v>
      </c>
      <c r="Q111" s="18" t="s">
        <v>449</v>
      </c>
      <c r="R111" s="18" t="s">
        <v>31</v>
      </c>
      <c r="S111" s="123">
        <v>3919109900</v>
      </c>
      <c r="T111" s="67" t="s">
        <v>686</v>
      </c>
      <c r="U111" s="67" t="s">
        <v>687</v>
      </c>
      <c r="V111" s="67" t="s">
        <v>688</v>
      </c>
      <c r="W111" s="47" t="s">
        <v>689</v>
      </c>
      <c r="X111" s="123">
        <v>5744003721450</v>
      </c>
      <c r="Y111" s="157" t="s">
        <v>969</v>
      </c>
    </row>
    <row r="112" spans="1:25" ht="39.75" customHeight="1" x14ac:dyDescent="0.4">
      <c r="A112" s="72">
        <v>54691276</v>
      </c>
      <c r="B112" s="73" t="s">
        <v>690</v>
      </c>
      <c r="C112" s="74" t="s">
        <v>691</v>
      </c>
      <c r="D112" s="52" t="s">
        <v>692</v>
      </c>
      <c r="E112" s="155">
        <f t="shared" si="11"/>
        <v>279.5</v>
      </c>
      <c r="F112" s="155">
        <f t="shared" si="8"/>
        <v>343.78499999999997</v>
      </c>
      <c r="G112" s="145">
        <v>65</v>
      </c>
      <c r="H112" s="155">
        <f t="shared" si="9"/>
        <v>206.39999999999998</v>
      </c>
      <c r="I112" s="155">
        <f t="shared" si="10"/>
        <v>253.87199999999996</v>
      </c>
      <c r="J112" s="145">
        <v>48</v>
      </c>
      <c r="K112" s="145">
        <v>44</v>
      </c>
      <c r="L112" s="46" t="s">
        <v>693</v>
      </c>
      <c r="M112" s="18" t="s">
        <v>694</v>
      </c>
      <c r="N112" s="18">
        <v>0.4</v>
      </c>
      <c r="O112" s="18" t="s">
        <v>695</v>
      </c>
      <c r="P112" s="18" t="s">
        <v>696</v>
      </c>
      <c r="Q112" s="18" t="s">
        <v>350</v>
      </c>
      <c r="R112" s="18" t="s">
        <v>473</v>
      </c>
      <c r="S112" s="135">
        <v>8547200090</v>
      </c>
      <c r="T112" s="71" t="s">
        <v>24</v>
      </c>
      <c r="U112" s="71" t="s">
        <v>24</v>
      </c>
      <c r="V112" s="71" t="s">
        <v>24</v>
      </c>
      <c r="W112" s="68" t="s">
        <v>697</v>
      </c>
      <c r="X112" s="119">
        <v>5744003720262</v>
      </c>
      <c r="Y112" s="157" t="s">
        <v>969</v>
      </c>
    </row>
    <row r="113" spans="1:25" ht="39.75" customHeight="1" x14ac:dyDescent="0.4">
      <c r="A113" s="13">
        <v>55690699</v>
      </c>
      <c r="B113" s="2" t="s">
        <v>698</v>
      </c>
      <c r="C113" s="3" t="s">
        <v>699</v>
      </c>
      <c r="D113" s="52" t="s">
        <v>700</v>
      </c>
      <c r="E113" s="155">
        <f t="shared" si="11"/>
        <v>81.7</v>
      </c>
      <c r="F113" s="155">
        <f t="shared" si="8"/>
        <v>100.491</v>
      </c>
      <c r="G113" s="145">
        <v>19</v>
      </c>
      <c r="H113" s="155">
        <f t="shared" si="9"/>
        <v>64.5</v>
      </c>
      <c r="I113" s="155">
        <f t="shared" si="10"/>
        <v>79.334999999999994</v>
      </c>
      <c r="J113" s="145">
        <v>15</v>
      </c>
      <c r="K113" s="145">
        <v>11</v>
      </c>
      <c r="L113" s="31" t="s">
        <v>701</v>
      </c>
      <c r="M113" s="5" t="s">
        <v>702</v>
      </c>
      <c r="N113" s="5">
        <v>0.107</v>
      </c>
      <c r="O113" s="87" t="s">
        <v>703</v>
      </c>
      <c r="P113" s="69" t="s">
        <v>704</v>
      </c>
      <c r="Q113" s="5" t="s">
        <v>705</v>
      </c>
      <c r="R113" s="11" t="s">
        <v>706</v>
      </c>
      <c r="S113" s="119">
        <v>55690699</v>
      </c>
      <c r="T113" s="67" t="s">
        <v>707</v>
      </c>
      <c r="U113" s="80" t="s">
        <v>24</v>
      </c>
      <c r="V113" s="67" t="s">
        <v>708</v>
      </c>
      <c r="W113" s="88" t="s">
        <v>709</v>
      </c>
      <c r="X113" s="119">
        <v>5744003720217</v>
      </c>
      <c r="Y113" s="157" t="s">
        <v>969</v>
      </c>
    </row>
    <row r="114" spans="1:25" ht="39.75" customHeight="1" x14ac:dyDescent="0.4">
      <c r="A114" s="13">
        <v>50690698</v>
      </c>
      <c r="B114" s="2" t="s">
        <v>710</v>
      </c>
      <c r="C114" s="3" t="s">
        <v>951</v>
      </c>
      <c r="D114" s="4" t="s">
        <v>711</v>
      </c>
      <c r="E114" s="155">
        <f t="shared" si="11"/>
        <v>111.8</v>
      </c>
      <c r="F114" s="155">
        <f t="shared" si="8"/>
        <v>137.51399999999998</v>
      </c>
      <c r="G114" s="139">
        <v>26</v>
      </c>
      <c r="H114" s="155">
        <f t="shared" si="9"/>
        <v>94.6</v>
      </c>
      <c r="I114" s="155">
        <f t="shared" si="10"/>
        <v>116.35799999999999</v>
      </c>
      <c r="J114" s="139">
        <v>22</v>
      </c>
      <c r="K114" s="139">
        <v>17</v>
      </c>
      <c r="L114" s="12" t="s">
        <v>712</v>
      </c>
      <c r="M114" s="15" t="s">
        <v>24</v>
      </c>
      <c r="N114" s="5">
        <v>0.1</v>
      </c>
      <c r="O114" s="87" t="s">
        <v>713</v>
      </c>
      <c r="P114" s="5" t="s">
        <v>714</v>
      </c>
      <c r="Q114" s="5" t="s">
        <v>715</v>
      </c>
      <c r="R114" s="5" t="s">
        <v>667</v>
      </c>
      <c r="S114" s="129">
        <v>8547200090</v>
      </c>
      <c r="T114" s="61" t="s">
        <v>716</v>
      </c>
      <c r="U114" s="61" t="s">
        <v>717</v>
      </c>
      <c r="V114" s="9" t="s">
        <v>718</v>
      </c>
      <c r="W114" s="68" t="s">
        <v>719</v>
      </c>
      <c r="X114" s="119">
        <v>5744003720170</v>
      </c>
      <c r="Y114" s="157" t="s">
        <v>969</v>
      </c>
    </row>
    <row r="115" spans="1:25" ht="39.75" customHeight="1" x14ac:dyDescent="0.4">
      <c r="A115" s="81">
        <v>50950698</v>
      </c>
      <c r="B115" s="2" t="s">
        <v>720</v>
      </c>
      <c r="C115" s="3" t="s">
        <v>950</v>
      </c>
      <c r="D115" s="4" t="s">
        <v>711</v>
      </c>
      <c r="E115" s="155">
        <f t="shared" si="11"/>
        <v>17.2</v>
      </c>
      <c r="F115" s="155">
        <f t="shared" si="8"/>
        <v>21.155999999999999</v>
      </c>
      <c r="G115" s="145">
        <v>4</v>
      </c>
      <c r="H115" s="155">
        <f t="shared" si="9"/>
        <v>12.899999999999999</v>
      </c>
      <c r="I115" s="155">
        <f t="shared" si="10"/>
        <v>15.866999999999997</v>
      </c>
      <c r="J115" s="145">
        <v>3</v>
      </c>
      <c r="K115" s="145">
        <v>2.2000000000000002</v>
      </c>
      <c r="L115" s="46" t="s">
        <v>712</v>
      </c>
      <c r="M115" s="15" t="s">
        <v>24</v>
      </c>
      <c r="N115" s="5">
        <v>0.01</v>
      </c>
      <c r="O115" s="87" t="s">
        <v>713</v>
      </c>
      <c r="P115" s="5" t="s">
        <v>721</v>
      </c>
      <c r="Q115" s="16" t="s">
        <v>24</v>
      </c>
      <c r="R115" s="18" t="s">
        <v>667</v>
      </c>
      <c r="S115" s="129">
        <v>8547200090</v>
      </c>
      <c r="T115" s="61" t="s">
        <v>716</v>
      </c>
      <c r="U115" s="61" t="s">
        <v>717</v>
      </c>
      <c r="V115" s="80" t="s">
        <v>718</v>
      </c>
      <c r="W115" s="68" t="s">
        <v>719</v>
      </c>
      <c r="X115" s="119">
        <v>5744003721139</v>
      </c>
      <c r="Y115" s="157" t="s">
        <v>969</v>
      </c>
    </row>
    <row r="116" spans="1:25" ht="39.75" customHeight="1" x14ac:dyDescent="0.4">
      <c r="A116" s="81">
        <v>50953399</v>
      </c>
      <c r="B116" s="2" t="s">
        <v>722</v>
      </c>
      <c r="C116" s="3" t="s">
        <v>951</v>
      </c>
      <c r="D116" s="52" t="s">
        <v>723</v>
      </c>
      <c r="E116" s="155">
        <f t="shared" si="11"/>
        <v>103.19999999999999</v>
      </c>
      <c r="F116" s="155">
        <f t="shared" si="8"/>
        <v>126.93599999999998</v>
      </c>
      <c r="G116" s="145">
        <v>24</v>
      </c>
      <c r="H116" s="155">
        <f t="shared" si="9"/>
        <v>86</v>
      </c>
      <c r="I116" s="155">
        <f t="shared" si="10"/>
        <v>105.78</v>
      </c>
      <c r="J116" s="145">
        <v>20</v>
      </c>
      <c r="K116" s="145">
        <v>15</v>
      </c>
      <c r="L116" s="46" t="s">
        <v>724</v>
      </c>
      <c r="M116" s="15" t="s">
        <v>24</v>
      </c>
      <c r="N116" s="5">
        <v>0.1</v>
      </c>
      <c r="O116" s="28" t="s">
        <v>725</v>
      </c>
      <c r="P116" s="5" t="s">
        <v>726</v>
      </c>
      <c r="Q116" s="18" t="s">
        <v>727</v>
      </c>
      <c r="R116" s="5" t="s">
        <v>667</v>
      </c>
      <c r="S116" s="129">
        <v>8547200090</v>
      </c>
      <c r="T116" s="67" t="s">
        <v>728</v>
      </c>
      <c r="U116" s="67" t="s">
        <v>729</v>
      </c>
      <c r="V116" s="80" t="s">
        <v>730</v>
      </c>
      <c r="W116" s="68" t="s">
        <v>731</v>
      </c>
      <c r="X116" s="123">
        <v>5744003720194</v>
      </c>
      <c r="Y116" s="157" t="s">
        <v>969</v>
      </c>
    </row>
    <row r="117" spans="1:25" ht="39.75" customHeight="1" x14ac:dyDescent="0.4">
      <c r="A117" s="78">
        <v>50053370</v>
      </c>
      <c r="B117" s="75" t="s">
        <v>732</v>
      </c>
      <c r="C117" s="65" t="s">
        <v>950</v>
      </c>
      <c r="D117" s="52" t="s">
        <v>723</v>
      </c>
      <c r="E117" s="155">
        <f t="shared" si="11"/>
        <v>16.125</v>
      </c>
      <c r="F117" s="155">
        <f t="shared" si="8"/>
        <v>19.833749999999998</v>
      </c>
      <c r="G117" s="145">
        <v>3.75</v>
      </c>
      <c r="H117" s="155">
        <f t="shared" si="9"/>
        <v>10.75</v>
      </c>
      <c r="I117" s="155">
        <f t="shared" si="10"/>
        <v>13.2225</v>
      </c>
      <c r="J117" s="145">
        <v>2.5</v>
      </c>
      <c r="K117" s="145">
        <v>2</v>
      </c>
      <c r="L117" s="46" t="s">
        <v>724</v>
      </c>
      <c r="M117" s="16" t="s">
        <v>24</v>
      </c>
      <c r="N117" s="18">
        <v>0.01</v>
      </c>
      <c r="O117" s="28" t="s">
        <v>725</v>
      </c>
      <c r="P117" s="18" t="s">
        <v>721</v>
      </c>
      <c r="Q117" s="16" t="s">
        <v>24</v>
      </c>
      <c r="R117" s="18" t="s">
        <v>667</v>
      </c>
      <c r="S117" s="135">
        <v>8547200090</v>
      </c>
      <c r="T117" s="67" t="s">
        <v>728</v>
      </c>
      <c r="U117" s="67" t="s">
        <v>729</v>
      </c>
      <c r="V117" s="80" t="s">
        <v>730</v>
      </c>
      <c r="W117" s="68" t="s">
        <v>731</v>
      </c>
      <c r="X117" s="123">
        <v>5744003721115</v>
      </c>
      <c r="Y117" s="157" t="s">
        <v>969</v>
      </c>
    </row>
    <row r="118" spans="1:25" ht="39.75" customHeight="1" x14ac:dyDescent="0.4">
      <c r="A118" s="72">
        <v>53691698</v>
      </c>
      <c r="B118" s="2" t="s">
        <v>733</v>
      </c>
      <c r="C118" s="3" t="s">
        <v>734</v>
      </c>
      <c r="D118" s="52" t="s">
        <v>735</v>
      </c>
      <c r="E118" s="155">
        <f t="shared" si="11"/>
        <v>167.7</v>
      </c>
      <c r="F118" s="155">
        <f t="shared" si="8"/>
        <v>206.27099999999999</v>
      </c>
      <c r="G118" s="145">
        <v>39</v>
      </c>
      <c r="H118" s="155">
        <f t="shared" si="9"/>
        <v>137.6</v>
      </c>
      <c r="I118" s="155">
        <f t="shared" si="10"/>
        <v>169.24799999999999</v>
      </c>
      <c r="J118" s="145">
        <v>32</v>
      </c>
      <c r="K118" s="145">
        <v>24</v>
      </c>
      <c r="L118" s="46" t="s">
        <v>736</v>
      </c>
      <c r="M118" s="16" t="s">
        <v>24</v>
      </c>
      <c r="N118" s="18">
        <v>8.0000000000000002E-3</v>
      </c>
      <c r="O118" s="89" t="s">
        <v>737</v>
      </c>
      <c r="P118" s="18" t="s">
        <v>738</v>
      </c>
      <c r="Q118" s="18" t="s">
        <v>284</v>
      </c>
      <c r="R118" s="18" t="s">
        <v>667</v>
      </c>
      <c r="S118" s="135">
        <v>8547200090</v>
      </c>
      <c r="T118" s="67" t="s">
        <v>739</v>
      </c>
      <c r="U118" s="80" t="s">
        <v>24</v>
      </c>
      <c r="V118" s="67" t="s">
        <v>740</v>
      </c>
      <c r="W118" s="68" t="s">
        <v>741</v>
      </c>
      <c r="X118" s="123">
        <v>5744003721146</v>
      </c>
      <c r="Y118" s="157" t="s">
        <v>969</v>
      </c>
    </row>
    <row r="119" spans="1:25" ht="39.75" customHeight="1" x14ac:dyDescent="0.4">
      <c r="A119" s="78">
        <v>53541698</v>
      </c>
      <c r="B119" s="2" t="s">
        <v>742</v>
      </c>
      <c r="C119" s="10" t="s">
        <v>743</v>
      </c>
      <c r="D119" s="52" t="s">
        <v>735</v>
      </c>
      <c r="E119" s="155">
        <f t="shared" si="11"/>
        <v>19.349999999999998</v>
      </c>
      <c r="F119" s="155">
        <f t="shared" si="8"/>
        <v>23.800499999999996</v>
      </c>
      <c r="G119" s="145">
        <v>4.5</v>
      </c>
      <c r="H119" s="155">
        <f t="shared" si="9"/>
        <v>12.899999999999999</v>
      </c>
      <c r="I119" s="155">
        <f t="shared" si="10"/>
        <v>15.866999999999997</v>
      </c>
      <c r="J119" s="145">
        <v>3</v>
      </c>
      <c r="K119" s="145">
        <v>2.2000000000000002</v>
      </c>
      <c r="L119" s="46" t="s">
        <v>736</v>
      </c>
      <c r="M119" s="16" t="s">
        <v>24</v>
      </c>
      <c r="N119" s="66">
        <v>2.5000000000000001E-2</v>
      </c>
      <c r="O119" s="66" t="s">
        <v>737</v>
      </c>
      <c r="P119" s="66" t="s">
        <v>721</v>
      </c>
      <c r="Q119" s="90" t="s">
        <v>24</v>
      </c>
      <c r="R119" s="66" t="s">
        <v>473</v>
      </c>
      <c r="S119" s="135">
        <v>8547200090</v>
      </c>
      <c r="T119" s="67" t="s">
        <v>739</v>
      </c>
      <c r="U119" s="80" t="s">
        <v>24</v>
      </c>
      <c r="V119" s="67" t="s">
        <v>740</v>
      </c>
      <c r="W119" s="68" t="s">
        <v>741</v>
      </c>
      <c r="X119" s="123">
        <v>5744003721559</v>
      </c>
      <c r="Y119" s="157" t="s">
        <v>969</v>
      </c>
    </row>
    <row r="120" spans="1:25" ht="39.75" customHeight="1" x14ac:dyDescent="0.4">
      <c r="A120" s="78">
        <v>53989924</v>
      </c>
      <c r="B120" s="2" t="s">
        <v>744</v>
      </c>
      <c r="C120" s="3" t="s">
        <v>745</v>
      </c>
      <c r="D120" s="52" t="s">
        <v>746</v>
      </c>
      <c r="E120" s="155">
        <f t="shared" si="11"/>
        <v>68.8</v>
      </c>
      <c r="F120" s="155">
        <f t="shared" si="8"/>
        <v>84.623999999999995</v>
      </c>
      <c r="G120" s="145">
        <v>16</v>
      </c>
      <c r="H120" s="155">
        <f t="shared" si="9"/>
        <v>43</v>
      </c>
      <c r="I120" s="155">
        <f t="shared" si="10"/>
        <v>52.89</v>
      </c>
      <c r="J120" s="145">
        <v>10</v>
      </c>
      <c r="K120" s="145">
        <v>7</v>
      </c>
      <c r="L120" s="46" t="s">
        <v>747</v>
      </c>
      <c r="M120" s="16" t="s">
        <v>24</v>
      </c>
      <c r="N120" s="18">
        <v>8.5000000000000006E-2</v>
      </c>
      <c r="O120" s="89" t="s">
        <v>748</v>
      </c>
      <c r="P120" s="18" t="s">
        <v>749</v>
      </c>
      <c r="Q120" s="18" t="s">
        <v>350</v>
      </c>
      <c r="R120" s="18" t="s">
        <v>667</v>
      </c>
      <c r="S120" s="135">
        <v>8547200090</v>
      </c>
      <c r="T120" s="67" t="s">
        <v>750</v>
      </c>
      <c r="U120" s="67" t="s">
        <v>751</v>
      </c>
      <c r="V120" s="80" t="s">
        <v>24</v>
      </c>
      <c r="W120" s="68" t="s">
        <v>752</v>
      </c>
      <c r="X120" s="123">
        <v>5744003720279</v>
      </c>
      <c r="Y120" s="157" t="s">
        <v>969</v>
      </c>
    </row>
    <row r="121" spans="1:25" ht="39.75" customHeight="1" x14ac:dyDescent="0.4">
      <c r="A121" s="91">
        <v>53959720</v>
      </c>
      <c r="B121" s="36" t="s">
        <v>753</v>
      </c>
      <c r="C121" s="65" t="s">
        <v>754</v>
      </c>
      <c r="D121" s="52" t="s">
        <v>755</v>
      </c>
      <c r="E121" s="155">
        <f t="shared" si="11"/>
        <v>43</v>
      </c>
      <c r="F121" s="155">
        <f t="shared" si="8"/>
        <v>52.89</v>
      </c>
      <c r="G121" s="145">
        <v>10</v>
      </c>
      <c r="H121" s="155">
        <f t="shared" si="9"/>
        <v>30.099999999999998</v>
      </c>
      <c r="I121" s="155">
        <f t="shared" si="10"/>
        <v>37.022999999999996</v>
      </c>
      <c r="J121" s="145">
        <v>7</v>
      </c>
      <c r="K121" s="145">
        <v>5</v>
      </c>
      <c r="L121" s="46" t="s">
        <v>756</v>
      </c>
      <c r="M121" s="16" t="s">
        <v>24</v>
      </c>
      <c r="N121" s="18">
        <v>7.5999999999999998E-2</v>
      </c>
      <c r="O121" s="5" t="s">
        <v>757</v>
      </c>
      <c r="P121" s="5" t="s">
        <v>758</v>
      </c>
      <c r="Q121" s="18" t="s">
        <v>759</v>
      </c>
      <c r="R121" s="18" t="s">
        <v>667</v>
      </c>
      <c r="S121" s="119">
        <v>4013900000</v>
      </c>
      <c r="T121" s="67" t="s">
        <v>760</v>
      </c>
      <c r="U121" s="67" t="s">
        <v>761</v>
      </c>
      <c r="V121" s="67" t="s">
        <v>762</v>
      </c>
      <c r="W121" s="29" t="s">
        <v>763</v>
      </c>
      <c r="X121" s="123">
        <v>5744003720231</v>
      </c>
      <c r="Y121" s="157" t="s">
        <v>969</v>
      </c>
    </row>
    <row r="122" spans="1:25" ht="39.75" customHeight="1" x14ac:dyDescent="0.4">
      <c r="A122" s="91">
        <v>53959722</v>
      </c>
      <c r="B122" s="36" t="s">
        <v>764</v>
      </c>
      <c r="C122" s="65" t="s">
        <v>765</v>
      </c>
      <c r="D122" s="80" t="s">
        <v>755</v>
      </c>
      <c r="E122" s="155">
        <f t="shared" si="11"/>
        <v>51.599999999999994</v>
      </c>
      <c r="F122" s="155">
        <f t="shared" si="8"/>
        <v>63.467999999999989</v>
      </c>
      <c r="G122" s="148">
        <v>12</v>
      </c>
      <c r="H122" s="155">
        <f t="shared" si="9"/>
        <v>38.699999999999996</v>
      </c>
      <c r="I122" s="155">
        <f t="shared" si="10"/>
        <v>47.600999999999992</v>
      </c>
      <c r="J122" s="148">
        <v>9</v>
      </c>
      <c r="K122" s="148">
        <v>7</v>
      </c>
      <c r="L122" s="46" t="s">
        <v>756</v>
      </c>
      <c r="M122" s="16" t="s">
        <v>24</v>
      </c>
      <c r="N122" s="18">
        <v>0.129</v>
      </c>
      <c r="O122" s="5" t="s">
        <v>766</v>
      </c>
      <c r="P122" s="5" t="s">
        <v>767</v>
      </c>
      <c r="Q122" s="18" t="s">
        <v>759</v>
      </c>
      <c r="R122" s="18" t="s">
        <v>667</v>
      </c>
      <c r="S122" s="123">
        <v>4013900000</v>
      </c>
      <c r="T122" s="67" t="s">
        <v>760</v>
      </c>
      <c r="U122" s="67" t="s">
        <v>761</v>
      </c>
      <c r="V122" s="67" t="s">
        <v>762</v>
      </c>
      <c r="W122" s="88" t="s">
        <v>763</v>
      </c>
      <c r="X122" s="123">
        <v>5744003720248</v>
      </c>
      <c r="Y122" s="157" t="s">
        <v>969</v>
      </c>
    </row>
    <row r="123" spans="1:25" ht="39.75" customHeight="1" x14ac:dyDescent="0.4">
      <c r="A123" s="78">
        <v>53959723</v>
      </c>
      <c r="B123" s="75" t="s">
        <v>768</v>
      </c>
      <c r="C123" s="74" t="s">
        <v>769</v>
      </c>
      <c r="D123" s="80" t="s">
        <v>755</v>
      </c>
      <c r="E123" s="155">
        <f t="shared" si="11"/>
        <v>55.9</v>
      </c>
      <c r="F123" s="155">
        <f t="shared" si="8"/>
        <v>68.756999999999991</v>
      </c>
      <c r="G123" s="148">
        <v>13</v>
      </c>
      <c r="H123" s="155">
        <f t="shared" si="9"/>
        <v>43</v>
      </c>
      <c r="I123" s="155">
        <f t="shared" si="10"/>
        <v>52.89</v>
      </c>
      <c r="J123" s="148">
        <v>10</v>
      </c>
      <c r="K123" s="148">
        <v>8</v>
      </c>
      <c r="L123" s="46" t="s">
        <v>756</v>
      </c>
      <c r="M123" s="16" t="s">
        <v>24</v>
      </c>
      <c r="N123" s="18">
        <v>0.153</v>
      </c>
      <c r="O123" s="5" t="s">
        <v>770</v>
      </c>
      <c r="P123" s="18" t="s">
        <v>771</v>
      </c>
      <c r="Q123" s="18" t="s">
        <v>772</v>
      </c>
      <c r="R123" s="18" t="s">
        <v>667</v>
      </c>
      <c r="S123" s="123">
        <v>4013900000</v>
      </c>
      <c r="T123" s="67" t="s">
        <v>760</v>
      </c>
      <c r="U123" s="67" t="s">
        <v>761</v>
      </c>
      <c r="V123" s="67" t="s">
        <v>762</v>
      </c>
      <c r="W123" s="88" t="s">
        <v>763</v>
      </c>
      <c r="X123" s="125">
        <v>5744003720255</v>
      </c>
      <c r="Y123" s="157" t="s">
        <v>969</v>
      </c>
    </row>
    <row r="124" spans="1:25" ht="39.75" customHeight="1" x14ac:dyDescent="0.4">
      <c r="A124" s="72">
        <v>52690698</v>
      </c>
      <c r="B124" s="2" t="s">
        <v>773</v>
      </c>
      <c r="C124" s="65" t="s">
        <v>951</v>
      </c>
      <c r="D124" s="52" t="s">
        <v>774</v>
      </c>
      <c r="E124" s="155">
        <f t="shared" si="11"/>
        <v>554.69999999999993</v>
      </c>
      <c r="F124" s="155">
        <f t="shared" si="8"/>
        <v>682.28099999999995</v>
      </c>
      <c r="G124" s="145">
        <v>129</v>
      </c>
      <c r="H124" s="155">
        <f t="shared" si="9"/>
        <v>425.7</v>
      </c>
      <c r="I124" s="155">
        <f t="shared" si="10"/>
        <v>523.61099999999999</v>
      </c>
      <c r="J124" s="145">
        <v>99</v>
      </c>
      <c r="K124" s="145">
        <v>75</v>
      </c>
      <c r="L124" s="46" t="s">
        <v>775</v>
      </c>
      <c r="M124" s="15" t="s">
        <v>24</v>
      </c>
      <c r="N124" s="5">
        <v>0.4</v>
      </c>
      <c r="O124" s="5" t="s">
        <v>776</v>
      </c>
      <c r="P124" s="5" t="s">
        <v>777</v>
      </c>
      <c r="Q124" s="18" t="s">
        <v>778</v>
      </c>
      <c r="R124" s="18" t="s">
        <v>779</v>
      </c>
      <c r="S124" s="129">
        <v>8547200090</v>
      </c>
      <c r="T124" s="67" t="s">
        <v>780</v>
      </c>
      <c r="U124" s="67" t="s">
        <v>781</v>
      </c>
      <c r="V124" s="67" t="s">
        <v>782</v>
      </c>
      <c r="W124" s="10" t="s">
        <v>783</v>
      </c>
      <c r="X124" s="119">
        <v>5744003720187</v>
      </c>
      <c r="Y124" s="157" t="s">
        <v>969</v>
      </c>
    </row>
    <row r="125" spans="1:25" ht="39.75" customHeight="1" x14ac:dyDescent="0.4">
      <c r="A125" s="72">
        <v>52530698</v>
      </c>
      <c r="B125" s="73" t="s">
        <v>784</v>
      </c>
      <c r="C125" s="65" t="s">
        <v>953</v>
      </c>
      <c r="D125" s="52" t="s">
        <v>774</v>
      </c>
      <c r="E125" s="155">
        <f t="shared" si="11"/>
        <v>60.199999999999996</v>
      </c>
      <c r="F125" s="155">
        <f t="shared" si="8"/>
        <v>74.045999999999992</v>
      </c>
      <c r="G125" s="145">
        <v>14</v>
      </c>
      <c r="H125" s="155">
        <f t="shared" si="9"/>
        <v>34.4</v>
      </c>
      <c r="I125" s="155">
        <f t="shared" si="10"/>
        <v>42.311999999999998</v>
      </c>
      <c r="J125" s="145">
        <v>8</v>
      </c>
      <c r="K125" s="145">
        <v>6</v>
      </c>
      <c r="L125" s="46" t="s">
        <v>775</v>
      </c>
      <c r="M125" s="16" t="s">
        <v>24</v>
      </c>
      <c r="N125" s="18">
        <v>1.4999999999999999E-2</v>
      </c>
      <c r="O125" s="5" t="s">
        <v>785</v>
      </c>
      <c r="P125" s="18" t="s">
        <v>721</v>
      </c>
      <c r="Q125" s="16" t="s">
        <v>24</v>
      </c>
      <c r="R125" s="18" t="s">
        <v>473</v>
      </c>
      <c r="S125" s="129">
        <v>8547200090</v>
      </c>
      <c r="T125" s="67" t="s">
        <v>780</v>
      </c>
      <c r="U125" s="67" t="s">
        <v>781</v>
      </c>
      <c r="V125" s="67" t="s">
        <v>782</v>
      </c>
      <c r="W125" s="10" t="s">
        <v>783</v>
      </c>
      <c r="X125" s="127">
        <v>5744003721306</v>
      </c>
      <c r="Y125" s="157" t="s">
        <v>969</v>
      </c>
    </row>
    <row r="126" spans="1:25" ht="39.75" customHeight="1" x14ac:dyDescent="0.4">
      <c r="A126" s="78">
        <v>53599474</v>
      </c>
      <c r="B126" s="75" t="s">
        <v>786</v>
      </c>
      <c r="C126" s="65" t="s">
        <v>952</v>
      </c>
      <c r="D126" s="52" t="s">
        <v>787</v>
      </c>
      <c r="E126" s="155">
        <f t="shared" si="11"/>
        <v>51.599999999999994</v>
      </c>
      <c r="F126" s="155">
        <f t="shared" si="8"/>
        <v>63.467999999999989</v>
      </c>
      <c r="G126" s="145">
        <v>12</v>
      </c>
      <c r="H126" s="155">
        <f t="shared" si="9"/>
        <v>30.099999999999998</v>
      </c>
      <c r="I126" s="155">
        <f t="shared" si="10"/>
        <v>37.022999999999996</v>
      </c>
      <c r="J126" s="145">
        <v>7</v>
      </c>
      <c r="K126" s="145">
        <v>5</v>
      </c>
      <c r="L126" s="46" t="s">
        <v>788</v>
      </c>
      <c r="M126" s="16" t="s">
        <v>24</v>
      </c>
      <c r="N126" s="18">
        <v>4.5999999999999999E-2</v>
      </c>
      <c r="O126" s="89" t="s">
        <v>737</v>
      </c>
      <c r="P126" s="18" t="s">
        <v>789</v>
      </c>
      <c r="Q126" s="18" t="s">
        <v>790</v>
      </c>
      <c r="R126" s="5" t="s">
        <v>779</v>
      </c>
      <c r="S126" s="119">
        <v>4013900000</v>
      </c>
      <c r="T126" s="67" t="s">
        <v>791</v>
      </c>
      <c r="U126" s="67" t="s">
        <v>792</v>
      </c>
      <c r="V126" s="80" t="s">
        <v>24</v>
      </c>
      <c r="W126" s="41" t="s">
        <v>793</v>
      </c>
      <c r="X126" s="123">
        <v>5744003721337</v>
      </c>
      <c r="Y126" s="157" t="s">
        <v>969</v>
      </c>
    </row>
    <row r="127" spans="1:25" ht="39.75" customHeight="1" x14ac:dyDescent="0.4">
      <c r="A127" s="78">
        <v>53689475</v>
      </c>
      <c r="B127" s="75" t="s">
        <v>794</v>
      </c>
      <c r="C127" s="65" t="s">
        <v>943</v>
      </c>
      <c r="D127" s="52" t="s">
        <v>787</v>
      </c>
      <c r="E127" s="155">
        <f t="shared" si="11"/>
        <v>103.19999999999999</v>
      </c>
      <c r="F127" s="155">
        <f t="shared" si="8"/>
        <v>126.93599999999998</v>
      </c>
      <c r="G127" s="145">
        <v>24</v>
      </c>
      <c r="H127" s="155">
        <f t="shared" si="9"/>
        <v>81.7</v>
      </c>
      <c r="I127" s="155">
        <f t="shared" si="10"/>
        <v>100.491</v>
      </c>
      <c r="J127" s="145">
        <v>19</v>
      </c>
      <c r="K127" s="145">
        <v>14</v>
      </c>
      <c r="L127" s="46" t="s">
        <v>788</v>
      </c>
      <c r="M127" s="16" t="s">
        <v>24</v>
      </c>
      <c r="N127" s="18">
        <v>0.14000000000000001</v>
      </c>
      <c r="O127" s="89" t="s">
        <v>737</v>
      </c>
      <c r="P127" s="18" t="s">
        <v>795</v>
      </c>
      <c r="Q127" s="18" t="s">
        <v>381</v>
      </c>
      <c r="R127" s="5" t="s">
        <v>779</v>
      </c>
      <c r="S127" s="119">
        <v>4013900000</v>
      </c>
      <c r="T127" s="67" t="s">
        <v>791</v>
      </c>
      <c r="U127" s="67" t="s">
        <v>792</v>
      </c>
      <c r="V127" s="80" t="s">
        <v>24</v>
      </c>
      <c r="W127" s="41" t="s">
        <v>793</v>
      </c>
      <c r="X127" s="123">
        <v>5744003721115</v>
      </c>
      <c r="Y127" s="157" t="s">
        <v>969</v>
      </c>
    </row>
    <row r="128" spans="1:25" ht="39.75" customHeight="1" x14ac:dyDescent="0.4">
      <c r="A128" s="72">
        <v>55693399</v>
      </c>
      <c r="B128" s="75" t="s">
        <v>796</v>
      </c>
      <c r="C128" s="65" t="s">
        <v>797</v>
      </c>
      <c r="D128" s="52" t="s">
        <v>798</v>
      </c>
      <c r="E128" s="155">
        <f t="shared" si="11"/>
        <v>64.5</v>
      </c>
      <c r="F128" s="155">
        <f t="shared" si="8"/>
        <v>79.334999999999994</v>
      </c>
      <c r="G128" s="145">
        <v>15</v>
      </c>
      <c r="H128" s="155">
        <f t="shared" si="9"/>
        <v>47.3</v>
      </c>
      <c r="I128" s="155">
        <f t="shared" si="10"/>
        <v>58.178999999999995</v>
      </c>
      <c r="J128" s="145">
        <v>11</v>
      </c>
      <c r="K128" s="145">
        <v>8</v>
      </c>
      <c r="L128" s="77" t="s">
        <v>701</v>
      </c>
      <c r="M128" s="18" t="s">
        <v>702</v>
      </c>
      <c r="N128" s="18">
        <v>8.5000000000000006E-2</v>
      </c>
      <c r="O128" s="87" t="s">
        <v>799</v>
      </c>
      <c r="P128" s="92" t="s">
        <v>800</v>
      </c>
      <c r="Q128" s="18" t="s">
        <v>341</v>
      </c>
      <c r="R128" s="11" t="s">
        <v>706</v>
      </c>
      <c r="S128" s="119">
        <v>55693399</v>
      </c>
      <c r="T128" s="67" t="s">
        <v>707</v>
      </c>
      <c r="U128" s="80" t="s">
        <v>24</v>
      </c>
      <c r="V128" s="67" t="s">
        <v>708</v>
      </c>
      <c r="W128" s="88" t="s">
        <v>801</v>
      </c>
      <c r="X128" s="123">
        <v>5744003721153</v>
      </c>
      <c r="Y128" s="157" t="s">
        <v>969</v>
      </c>
    </row>
    <row r="129" spans="1:25" ht="39.75" customHeight="1" x14ac:dyDescent="0.4">
      <c r="A129" s="72">
        <v>81939778</v>
      </c>
      <c r="B129" s="75" t="s">
        <v>802</v>
      </c>
      <c r="C129" s="65" t="s">
        <v>30</v>
      </c>
      <c r="D129" s="52" t="s">
        <v>803</v>
      </c>
      <c r="E129" s="155">
        <f t="shared" si="11"/>
        <v>180.6</v>
      </c>
      <c r="F129" s="155">
        <f t="shared" ref="F129:F151" si="13">(E129*1.23)</f>
        <v>222.13799999999998</v>
      </c>
      <c r="G129" s="145">
        <v>42</v>
      </c>
      <c r="H129" s="155">
        <f t="shared" ref="H129:H151" si="14">(J129*4.3)</f>
        <v>137.6</v>
      </c>
      <c r="I129" s="155">
        <f t="shared" ref="I129:I151" si="15">H129*1.23</f>
        <v>169.24799999999999</v>
      </c>
      <c r="J129" s="145">
        <v>32</v>
      </c>
      <c r="K129" s="145">
        <v>24</v>
      </c>
      <c r="L129" s="46" t="s">
        <v>804</v>
      </c>
      <c r="M129" s="89" t="s">
        <v>805</v>
      </c>
      <c r="N129" s="66">
        <v>0.08</v>
      </c>
      <c r="O129" s="18" t="s">
        <v>806</v>
      </c>
      <c r="P129" s="18" t="s">
        <v>806</v>
      </c>
      <c r="Q129" s="18" t="s">
        <v>284</v>
      </c>
      <c r="R129" s="18" t="s">
        <v>31</v>
      </c>
      <c r="S129" s="135">
        <v>8547200090</v>
      </c>
      <c r="T129" s="67" t="s">
        <v>807</v>
      </c>
      <c r="U129" s="67" t="s">
        <v>808</v>
      </c>
      <c r="V129" s="67" t="s">
        <v>809</v>
      </c>
      <c r="W129" s="66" t="s">
        <v>810</v>
      </c>
      <c r="X129" s="123">
        <v>5744003721450</v>
      </c>
      <c r="Y129" s="157" t="s">
        <v>969</v>
      </c>
    </row>
    <row r="130" spans="1:25" ht="39.75" customHeight="1" x14ac:dyDescent="0.4">
      <c r="A130" s="72">
        <v>54691298</v>
      </c>
      <c r="B130" s="75" t="s">
        <v>811</v>
      </c>
      <c r="C130" s="3" t="s">
        <v>951</v>
      </c>
      <c r="D130" s="93" t="s">
        <v>812</v>
      </c>
      <c r="E130" s="155">
        <f t="shared" ref="E130:E151" si="16">(G130*4.3)</f>
        <v>189.2</v>
      </c>
      <c r="F130" s="155">
        <f t="shared" si="13"/>
        <v>232.71599999999998</v>
      </c>
      <c r="G130" s="149">
        <v>44</v>
      </c>
      <c r="H130" s="155">
        <f t="shared" si="14"/>
        <v>154.79999999999998</v>
      </c>
      <c r="I130" s="155">
        <f t="shared" si="15"/>
        <v>190.40399999999997</v>
      </c>
      <c r="J130" s="149">
        <v>36</v>
      </c>
      <c r="K130" s="149">
        <v>29</v>
      </c>
      <c r="L130" s="46" t="s">
        <v>693</v>
      </c>
      <c r="M130" s="18" t="s">
        <v>813</v>
      </c>
      <c r="N130" s="18">
        <v>0.4</v>
      </c>
      <c r="O130" s="18" t="s">
        <v>776</v>
      </c>
      <c r="P130" s="18" t="s">
        <v>695</v>
      </c>
      <c r="Q130" s="18" t="s">
        <v>600</v>
      </c>
      <c r="R130" s="18" t="s">
        <v>779</v>
      </c>
      <c r="S130" s="129">
        <v>8547200090</v>
      </c>
      <c r="T130" s="94" t="s">
        <v>814</v>
      </c>
      <c r="U130" s="94" t="s">
        <v>815</v>
      </c>
      <c r="V130" s="95" t="s">
        <v>816</v>
      </c>
      <c r="W130" s="68" t="s">
        <v>817</v>
      </c>
      <c r="X130" s="123">
        <v>5744003720224</v>
      </c>
      <c r="Y130" s="157" t="s">
        <v>969</v>
      </c>
    </row>
    <row r="131" spans="1:25" ht="39.75" customHeight="1" x14ac:dyDescent="0.4">
      <c r="A131" s="13">
        <v>54541298</v>
      </c>
      <c r="B131" s="96" t="s">
        <v>818</v>
      </c>
      <c r="C131" s="65" t="s">
        <v>950</v>
      </c>
      <c r="D131" s="93" t="s">
        <v>812</v>
      </c>
      <c r="E131" s="155">
        <f t="shared" si="16"/>
        <v>17.2</v>
      </c>
      <c r="F131" s="155">
        <f t="shared" si="13"/>
        <v>21.155999999999999</v>
      </c>
      <c r="G131" s="149">
        <v>4</v>
      </c>
      <c r="H131" s="155">
        <f t="shared" si="14"/>
        <v>10.75</v>
      </c>
      <c r="I131" s="155">
        <f t="shared" si="15"/>
        <v>13.2225</v>
      </c>
      <c r="J131" s="149">
        <v>2.5</v>
      </c>
      <c r="K131" s="149">
        <v>1.8</v>
      </c>
      <c r="L131" s="46" t="s">
        <v>693</v>
      </c>
      <c r="M131" s="15" t="s">
        <v>24</v>
      </c>
      <c r="N131" s="5">
        <v>2.5000000000000001E-2</v>
      </c>
      <c r="O131" s="5" t="s">
        <v>776</v>
      </c>
      <c r="P131" s="5" t="s">
        <v>721</v>
      </c>
      <c r="Q131" s="16" t="s">
        <v>24</v>
      </c>
      <c r="R131" s="18" t="s">
        <v>473</v>
      </c>
      <c r="S131" s="129">
        <v>8547200090</v>
      </c>
      <c r="T131" s="94" t="s">
        <v>814</v>
      </c>
      <c r="U131" s="94" t="s">
        <v>815</v>
      </c>
      <c r="V131" s="95" t="s">
        <v>816</v>
      </c>
      <c r="W131" s="97" t="s">
        <v>817</v>
      </c>
      <c r="X131" s="124">
        <v>5744003721122</v>
      </c>
      <c r="Y131" s="157" t="s">
        <v>969</v>
      </c>
    </row>
    <row r="132" spans="1:25" ht="39.75" customHeight="1" x14ac:dyDescent="0.4">
      <c r="A132" s="13">
        <v>200299</v>
      </c>
      <c r="B132" s="36" t="s">
        <v>819</v>
      </c>
      <c r="C132" s="65" t="s">
        <v>30</v>
      </c>
      <c r="D132" s="98" t="s">
        <v>24</v>
      </c>
      <c r="E132" s="155">
        <f t="shared" si="16"/>
        <v>0</v>
      </c>
      <c r="F132" s="155">
        <f t="shared" si="13"/>
        <v>0</v>
      </c>
      <c r="G132" s="150">
        <v>0</v>
      </c>
      <c r="H132" s="155">
        <f t="shared" si="14"/>
        <v>0</v>
      </c>
      <c r="I132" s="155">
        <f t="shared" si="15"/>
        <v>0</v>
      </c>
      <c r="J132" s="150"/>
      <c r="K132" s="150"/>
      <c r="L132" s="99" t="s">
        <v>24</v>
      </c>
      <c r="M132" s="7" t="s">
        <v>820</v>
      </c>
      <c r="N132" s="7">
        <v>0.27</v>
      </c>
      <c r="O132" s="5" t="s">
        <v>821</v>
      </c>
      <c r="P132" s="5" t="s">
        <v>822</v>
      </c>
      <c r="Q132" s="100" t="s">
        <v>823</v>
      </c>
      <c r="R132" s="18" t="s">
        <v>31</v>
      </c>
      <c r="S132" s="129">
        <v>8507600090</v>
      </c>
      <c r="T132" s="98" t="s">
        <v>24</v>
      </c>
      <c r="U132" s="98" t="s">
        <v>24</v>
      </c>
      <c r="V132" s="98" t="s">
        <v>24</v>
      </c>
      <c r="W132" s="101" t="s">
        <v>824</v>
      </c>
      <c r="X132" s="128">
        <v>3564092002993</v>
      </c>
      <c r="Y132" s="157" t="s">
        <v>969</v>
      </c>
    </row>
    <row r="133" spans="1:25" ht="39.75" customHeight="1" x14ac:dyDescent="0.4">
      <c r="A133" s="13">
        <v>200300</v>
      </c>
      <c r="B133" s="102" t="s">
        <v>825</v>
      </c>
      <c r="C133" s="65" t="s">
        <v>30</v>
      </c>
      <c r="D133" s="98" t="s">
        <v>24</v>
      </c>
      <c r="E133" s="155">
        <f t="shared" si="16"/>
        <v>0</v>
      </c>
      <c r="F133" s="155">
        <f t="shared" si="13"/>
        <v>0</v>
      </c>
      <c r="G133" s="150">
        <v>0</v>
      </c>
      <c r="H133" s="155">
        <f t="shared" si="14"/>
        <v>0</v>
      </c>
      <c r="I133" s="155">
        <f t="shared" si="15"/>
        <v>0</v>
      </c>
      <c r="J133" s="150"/>
      <c r="K133" s="150"/>
      <c r="L133" s="99" t="s">
        <v>24</v>
      </c>
      <c r="M133" s="7" t="s">
        <v>826</v>
      </c>
      <c r="N133" s="7">
        <v>0.69</v>
      </c>
      <c r="O133" s="5" t="s">
        <v>827</v>
      </c>
      <c r="P133" s="5" t="s">
        <v>828</v>
      </c>
      <c r="Q133" s="100" t="s">
        <v>829</v>
      </c>
      <c r="R133" s="18" t="s">
        <v>31</v>
      </c>
      <c r="S133" s="129">
        <v>8507600090</v>
      </c>
      <c r="T133" s="63" t="s">
        <v>830</v>
      </c>
      <c r="U133" s="63" t="s">
        <v>831</v>
      </c>
      <c r="V133" s="63" t="s">
        <v>832</v>
      </c>
      <c r="W133" s="101" t="s">
        <v>833</v>
      </c>
      <c r="X133" s="128">
        <v>3564092003006</v>
      </c>
      <c r="Y133" s="157" t="s">
        <v>969</v>
      </c>
    </row>
    <row r="134" spans="1:25" ht="39.75" customHeight="1" x14ac:dyDescent="0.4">
      <c r="A134" s="13">
        <v>200329</v>
      </c>
      <c r="B134" s="103" t="s">
        <v>834</v>
      </c>
      <c r="C134" s="65" t="s">
        <v>30</v>
      </c>
      <c r="D134" s="98" t="s">
        <v>24</v>
      </c>
      <c r="E134" s="155">
        <f t="shared" si="16"/>
        <v>0</v>
      </c>
      <c r="F134" s="155">
        <f t="shared" si="13"/>
        <v>0</v>
      </c>
      <c r="G134" s="150">
        <v>0</v>
      </c>
      <c r="H134" s="155">
        <f t="shared" si="14"/>
        <v>417.09999999999997</v>
      </c>
      <c r="I134" s="155">
        <f t="shared" si="15"/>
        <v>513.0329999999999</v>
      </c>
      <c r="J134" s="150">
        <v>97</v>
      </c>
      <c r="K134" s="150">
        <v>83</v>
      </c>
      <c r="L134" s="99" t="s">
        <v>24</v>
      </c>
      <c r="M134" s="7" t="s">
        <v>835</v>
      </c>
      <c r="N134" s="7">
        <v>0.39</v>
      </c>
      <c r="O134" s="5" t="s">
        <v>836</v>
      </c>
      <c r="P134" s="5" t="s">
        <v>837</v>
      </c>
      <c r="Q134" s="100" t="s">
        <v>568</v>
      </c>
      <c r="R134" s="18" t="s">
        <v>31</v>
      </c>
      <c r="S134" s="129">
        <v>8507600090</v>
      </c>
      <c r="T134" s="63" t="s">
        <v>830</v>
      </c>
      <c r="U134" s="63" t="s">
        <v>831</v>
      </c>
      <c r="V134" s="63" t="s">
        <v>838</v>
      </c>
      <c r="W134" s="104" t="s">
        <v>839</v>
      </c>
      <c r="X134" s="128">
        <v>3564092003297</v>
      </c>
      <c r="Y134" s="157" t="s">
        <v>969</v>
      </c>
    </row>
    <row r="135" spans="1:25" ht="39.75" customHeight="1" x14ac:dyDescent="0.4">
      <c r="A135" s="13">
        <v>200303</v>
      </c>
      <c r="B135" s="103" t="s">
        <v>840</v>
      </c>
      <c r="C135" s="65" t="s">
        <v>30</v>
      </c>
      <c r="D135" s="98" t="s">
        <v>24</v>
      </c>
      <c r="E135" s="155">
        <f t="shared" si="16"/>
        <v>0</v>
      </c>
      <c r="F135" s="155">
        <f t="shared" si="13"/>
        <v>0</v>
      </c>
      <c r="G135" s="150">
        <v>0</v>
      </c>
      <c r="H135" s="155">
        <f t="shared" si="14"/>
        <v>0</v>
      </c>
      <c r="I135" s="155">
        <f t="shared" si="15"/>
        <v>0</v>
      </c>
      <c r="J135" s="150"/>
      <c r="K135" s="150"/>
      <c r="L135" s="99" t="s">
        <v>24</v>
      </c>
      <c r="M135" s="7" t="s">
        <v>841</v>
      </c>
      <c r="N135" s="7">
        <v>0.5</v>
      </c>
      <c r="O135" s="5" t="s">
        <v>842</v>
      </c>
      <c r="P135" s="5" t="s">
        <v>843</v>
      </c>
      <c r="Q135" s="100" t="s">
        <v>350</v>
      </c>
      <c r="R135" s="18" t="s">
        <v>31</v>
      </c>
      <c r="S135" s="129">
        <v>8507600090</v>
      </c>
      <c r="T135" s="63" t="s">
        <v>830</v>
      </c>
      <c r="U135" s="63" t="s">
        <v>831</v>
      </c>
      <c r="V135" s="63" t="s">
        <v>844</v>
      </c>
      <c r="W135" s="101" t="s">
        <v>845</v>
      </c>
      <c r="X135" s="128">
        <v>3564092003037</v>
      </c>
      <c r="Y135" s="157" t="s">
        <v>969</v>
      </c>
    </row>
    <row r="136" spans="1:25" ht="39.75" customHeight="1" x14ac:dyDescent="0.4">
      <c r="A136" s="13">
        <v>200302</v>
      </c>
      <c r="B136" s="103" t="s">
        <v>846</v>
      </c>
      <c r="C136" s="65" t="s">
        <v>30</v>
      </c>
      <c r="D136" s="98" t="s">
        <v>24</v>
      </c>
      <c r="E136" s="155">
        <f t="shared" si="16"/>
        <v>0</v>
      </c>
      <c r="F136" s="155">
        <f t="shared" si="13"/>
        <v>0</v>
      </c>
      <c r="G136" s="150">
        <v>0</v>
      </c>
      <c r="H136" s="155">
        <f t="shared" si="14"/>
        <v>0</v>
      </c>
      <c r="I136" s="155">
        <f t="shared" si="15"/>
        <v>0</v>
      </c>
      <c r="J136" s="150"/>
      <c r="K136" s="150"/>
      <c r="L136" s="99" t="s">
        <v>24</v>
      </c>
      <c r="M136" s="7" t="s">
        <v>847</v>
      </c>
      <c r="N136" s="7">
        <v>2.3199999999999998</v>
      </c>
      <c r="O136" s="5" t="s">
        <v>848</v>
      </c>
      <c r="P136" s="5" t="s">
        <v>849</v>
      </c>
      <c r="Q136" s="100" t="s">
        <v>270</v>
      </c>
      <c r="R136" s="18" t="s">
        <v>31</v>
      </c>
      <c r="S136" s="129">
        <v>8507600090</v>
      </c>
      <c r="T136" s="63" t="s">
        <v>830</v>
      </c>
      <c r="U136" s="63" t="s">
        <v>831</v>
      </c>
      <c r="V136" s="63" t="s">
        <v>850</v>
      </c>
      <c r="W136" s="101" t="s">
        <v>851</v>
      </c>
      <c r="X136" s="128">
        <v>3564092003020</v>
      </c>
      <c r="Y136" s="157" t="s">
        <v>969</v>
      </c>
    </row>
    <row r="137" spans="1:25" ht="39.75" customHeight="1" x14ac:dyDescent="0.4">
      <c r="A137" s="13">
        <v>200301</v>
      </c>
      <c r="B137" s="103" t="s">
        <v>852</v>
      </c>
      <c r="C137" s="65" t="s">
        <v>30</v>
      </c>
      <c r="D137" s="98" t="s">
        <v>24</v>
      </c>
      <c r="E137" s="155">
        <f t="shared" si="16"/>
        <v>0</v>
      </c>
      <c r="F137" s="155">
        <f t="shared" si="13"/>
        <v>0</v>
      </c>
      <c r="G137" s="150">
        <v>0</v>
      </c>
      <c r="H137" s="155">
        <f t="shared" si="14"/>
        <v>0</v>
      </c>
      <c r="I137" s="155">
        <f t="shared" si="15"/>
        <v>0</v>
      </c>
      <c r="J137" s="150"/>
      <c r="K137" s="150"/>
      <c r="L137" s="99" t="s">
        <v>24</v>
      </c>
      <c r="M137" s="7" t="s">
        <v>826</v>
      </c>
      <c r="N137" s="7">
        <v>1.1499999999999999</v>
      </c>
      <c r="O137" s="5" t="s">
        <v>853</v>
      </c>
      <c r="P137" s="5" t="s">
        <v>854</v>
      </c>
      <c r="Q137" s="100" t="s">
        <v>855</v>
      </c>
      <c r="R137" s="18" t="s">
        <v>31</v>
      </c>
      <c r="S137" s="129">
        <v>8507600090</v>
      </c>
      <c r="T137" s="63" t="s">
        <v>830</v>
      </c>
      <c r="U137" s="63" t="s">
        <v>831</v>
      </c>
      <c r="V137" s="63" t="s">
        <v>856</v>
      </c>
      <c r="W137" s="101" t="s">
        <v>857</v>
      </c>
      <c r="X137" s="128">
        <v>3564092003013</v>
      </c>
      <c r="Y137" s="157" t="s">
        <v>969</v>
      </c>
    </row>
    <row r="138" spans="1:25" ht="39.75" customHeight="1" x14ac:dyDescent="0.4">
      <c r="A138" s="13">
        <v>200310</v>
      </c>
      <c r="B138" s="96" t="s">
        <v>858</v>
      </c>
      <c r="C138" s="65" t="s">
        <v>30</v>
      </c>
      <c r="D138" s="98" t="s">
        <v>24</v>
      </c>
      <c r="E138" s="155">
        <f t="shared" si="16"/>
        <v>0</v>
      </c>
      <c r="F138" s="155">
        <f t="shared" si="13"/>
        <v>0</v>
      </c>
      <c r="G138" s="150">
        <v>0</v>
      </c>
      <c r="H138" s="155">
        <f t="shared" si="14"/>
        <v>167.7</v>
      </c>
      <c r="I138" s="155">
        <f t="shared" si="15"/>
        <v>206.27099999999999</v>
      </c>
      <c r="J138" s="150">
        <v>39</v>
      </c>
      <c r="K138" s="150">
        <v>33</v>
      </c>
      <c r="L138" s="99" t="s">
        <v>24</v>
      </c>
      <c r="M138" s="7" t="s">
        <v>820</v>
      </c>
      <c r="N138" s="7">
        <v>0.85</v>
      </c>
      <c r="O138" s="5" t="s">
        <v>859</v>
      </c>
      <c r="P138" s="5" t="s">
        <v>860</v>
      </c>
      <c r="Q138" s="100" t="s">
        <v>350</v>
      </c>
      <c r="R138" s="18" t="s">
        <v>31</v>
      </c>
      <c r="S138" s="129">
        <v>85075000</v>
      </c>
      <c r="T138" s="63" t="s">
        <v>861</v>
      </c>
      <c r="U138" s="63" t="s">
        <v>862</v>
      </c>
      <c r="V138" s="63" t="s">
        <v>863</v>
      </c>
      <c r="W138" s="101" t="s">
        <v>864</v>
      </c>
      <c r="X138" s="128">
        <v>3564092003105</v>
      </c>
      <c r="Y138" s="157" t="s">
        <v>969</v>
      </c>
    </row>
    <row r="139" spans="1:25" ht="39.75" customHeight="1" x14ac:dyDescent="0.4">
      <c r="A139" s="13">
        <v>200305</v>
      </c>
      <c r="B139" s="103" t="s">
        <v>865</v>
      </c>
      <c r="C139" s="65" t="s">
        <v>30</v>
      </c>
      <c r="D139" s="98" t="s">
        <v>24</v>
      </c>
      <c r="E139" s="155">
        <f t="shared" si="16"/>
        <v>0</v>
      </c>
      <c r="F139" s="155">
        <f t="shared" si="13"/>
        <v>0</v>
      </c>
      <c r="G139" s="150">
        <v>0</v>
      </c>
      <c r="H139" s="155">
        <f t="shared" si="14"/>
        <v>167.7</v>
      </c>
      <c r="I139" s="155">
        <f t="shared" si="15"/>
        <v>206.27099999999999</v>
      </c>
      <c r="J139" s="150">
        <v>39</v>
      </c>
      <c r="K139" s="150">
        <v>33</v>
      </c>
      <c r="L139" s="99" t="s">
        <v>24</v>
      </c>
      <c r="M139" s="7" t="s">
        <v>866</v>
      </c>
      <c r="N139" s="7">
        <v>0.25</v>
      </c>
      <c r="O139" s="5" t="s">
        <v>867</v>
      </c>
      <c r="P139" s="5" t="s">
        <v>828</v>
      </c>
      <c r="Q139" s="100" t="s">
        <v>823</v>
      </c>
      <c r="R139" s="18" t="s">
        <v>31</v>
      </c>
      <c r="S139" s="129">
        <v>8507600090</v>
      </c>
      <c r="T139" s="63" t="s">
        <v>830</v>
      </c>
      <c r="U139" s="63" t="s">
        <v>831</v>
      </c>
      <c r="V139" s="63" t="s">
        <v>868</v>
      </c>
      <c r="W139" s="101" t="s">
        <v>869</v>
      </c>
      <c r="X139" s="128">
        <v>3564092003051</v>
      </c>
      <c r="Y139" s="157" t="s">
        <v>969</v>
      </c>
    </row>
    <row r="140" spans="1:25" ht="39.75" customHeight="1" x14ac:dyDescent="0.4">
      <c r="A140" s="13">
        <v>200311</v>
      </c>
      <c r="B140" s="103" t="s">
        <v>870</v>
      </c>
      <c r="C140" s="65" t="s">
        <v>30</v>
      </c>
      <c r="D140" s="98" t="s">
        <v>24</v>
      </c>
      <c r="E140" s="155">
        <f t="shared" si="16"/>
        <v>0</v>
      </c>
      <c r="F140" s="155">
        <f t="shared" si="13"/>
        <v>0</v>
      </c>
      <c r="G140" s="150">
        <v>0</v>
      </c>
      <c r="H140" s="155">
        <f t="shared" si="14"/>
        <v>365.5</v>
      </c>
      <c r="I140" s="155">
        <f t="shared" si="15"/>
        <v>449.565</v>
      </c>
      <c r="J140" s="150">
        <v>85</v>
      </c>
      <c r="K140" s="150">
        <v>72</v>
      </c>
      <c r="L140" s="99" t="s">
        <v>24</v>
      </c>
      <c r="M140" s="7" t="s">
        <v>826</v>
      </c>
      <c r="N140" s="7">
        <v>0.55000000000000004</v>
      </c>
      <c r="O140" s="5" t="s">
        <v>871</v>
      </c>
      <c r="P140" s="5" t="s">
        <v>872</v>
      </c>
      <c r="Q140" s="100" t="s">
        <v>600</v>
      </c>
      <c r="R140" s="18" t="s">
        <v>31</v>
      </c>
      <c r="S140" s="129">
        <v>8507600090</v>
      </c>
      <c r="T140" s="63" t="s">
        <v>830</v>
      </c>
      <c r="U140" s="63" t="s">
        <v>831</v>
      </c>
      <c r="V140" s="63" t="s">
        <v>873</v>
      </c>
      <c r="W140" s="101" t="s">
        <v>874</v>
      </c>
      <c r="X140" s="128">
        <v>3564092003112</v>
      </c>
      <c r="Y140" s="157" t="s">
        <v>969</v>
      </c>
    </row>
    <row r="141" spans="1:25" ht="39.75" customHeight="1" x14ac:dyDescent="0.4">
      <c r="A141" s="13">
        <v>200307</v>
      </c>
      <c r="B141" s="102" t="s">
        <v>875</v>
      </c>
      <c r="C141" s="65" t="s">
        <v>30</v>
      </c>
      <c r="D141" s="98" t="s">
        <v>24</v>
      </c>
      <c r="E141" s="155">
        <f t="shared" si="16"/>
        <v>0</v>
      </c>
      <c r="F141" s="155">
        <f t="shared" si="13"/>
        <v>0</v>
      </c>
      <c r="G141" s="150">
        <v>0</v>
      </c>
      <c r="H141" s="155">
        <f t="shared" si="14"/>
        <v>202.1</v>
      </c>
      <c r="I141" s="155">
        <f t="shared" si="15"/>
        <v>248.583</v>
      </c>
      <c r="J141" s="150">
        <v>47</v>
      </c>
      <c r="K141" s="150">
        <v>40</v>
      </c>
      <c r="L141" s="99" t="s">
        <v>24</v>
      </c>
      <c r="M141" s="7" t="s">
        <v>876</v>
      </c>
      <c r="N141" s="7">
        <v>0.25</v>
      </c>
      <c r="O141" s="5" t="s">
        <v>877</v>
      </c>
      <c r="P141" s="5" t="s">
        <v>878</v>
      </c>
      <c r="Q141" s="100" t="s">
        <v>823</v>
      </c>
      <c r="R141" s="18" t="s">
        <v>31</v>
      </c>
      <c r="S141" s="129">
        <v>8507600090</v>
      </c>
      <c r="T141" s="63" t="s">
        <v>830</v>
      </c>
      <c r="U141" s="63" t="s">
        <v>831</v>
      </c>
      <c r="V141" s="63" t="s">
        <v>879</v>
      </c>
      <c r="W141" s="101" t="s">
        <v>880</v>
      </c>
      <c r="X141" s="128">
        <v>3564092003075</v>
      </c>
      <c r="Y141" s="157" t="s">
        <v>969</v>
      </c>
    </row>
    <row r="142" spans="1:25" ht="39.75" customHeight="1" x14ac:dyDescent="0.4">
      <c r="A142" s="13">
        <v>200308</v>
      </c>
      <c r="B142" s="96" t="s">
        <v>881</v>
      </c>
      <c r="C142" s="65" t="s">
        <v>30</v>
      </c>
      <c r="D142" s="98" t="s">
        <v>24</v>
      </c>
      <c r="E142" s="155">
        <f t="shared" si="16"/>
        <v>0</v>
      </c>
      <c r="F142" s="155">
        <f t="shared" si="13"/>
        <v>0</v>
      </c>
      <c r="G142" s="150">
        <v>0</v>
      </c>
      <c r="H142" s="155">
        <f t="shared" si="14"/>
        <v>262.3</v>
      </c>
      <c r="I142" s="155">
        <f t="shared" si="15"/>
        <v>322.62900000000002</v>
      </c>
      <c r="J142" s="150">
        <v>61</v>
      </c>
      <c r="K142" s="150">
        <v>52</v>
      </c>
      <c r="L142" s="99" t="s">
        <v>24</v>
      </c>
      <c r="M142" s="7" t="s">
        <v>820</v>
      </c>
      <c r="N142" s="7">
        <v>0.49</v>
      </c>
      <c r="O142" s="5" t="s">
        <v>882</v>
      </c>
      <c r="P142" s="5" t="s">
        <v>883</v>
      </c>
      <c r="Q142" s="100" t="s">
        <v>829</v>
      </c>
      <c r="R142" s="18" t="s">
        <v>31</v>
      </c>
      <c r="S142" s="129">
        <v>8507600090</v>
      </c>
      <c r="T142" s="63" t="s">
        <v>830</v>
      </c>
      <c r="U142" s="63" t="s">
        <v>831</v>
      </c>
      <c r="V142" s="63" t="s">
        <v>884</v>
      </c>
      <c r="W142" s="101" t="s">
        <v>885</v>
      </c>
      <c r="X142" s="128">
        <v>3564092003082</v>
      </c>
      <c r="Y142" s="157" t="s">
        <v>969</v>
      </c>
    </row>
    <row r="143" spans="1:25" ht="39.75" customHeight="1" x14ac:dyDescent="0.4">
      <c r="A143" s="13">
        <v>200309</v>
      </c>
      <c r="B143" s="96" t="s">
        <v>886</v>
      </c>
      <c r="C143" s="65" t="s">
        <v>30</v>
      </c>
      <c r="D143" s="98" t="s">
        <v>24</v>
      </c>
      <c r="E143" s="155">
        <f t="shared" si="16"/>
        <v>0</v>
      </c>
      <c r="F143" s="155">
        <f t="shared" si="13"/>
        <v>0</v>
      </c>
      <c r="G143" s="150">
        <v>0</v>
      </c>
      <c r="H143" s="155">
        <f t="shared" si="14"/>
        <v>288.09999999999997</v>
      </c>
      <c r="I143" s="155">
        <f t="shared" si="15"/>
        <v>354.36299999999994</v>
      </c>
      <c r="J143" s="150">
        <v>67</v>
      </c>
      <c r="K143" s="150">
        <v>57</v>
      </c>
      <c r="L143" s="99" t="s">
        <v>24</v>
      </c>
      <c r="M143" s="7" t="s">
        <v>820</v>
      </c>
      <c r="N143" s="7">
        <v>0.49</v>
      </c>
      <c r="O143" s="5" t="s">
        <v>882</v>
      </c>
      <c r="P143" s="5" t="s">
        <v>883</v>
      </c>
      <c r="Q143" s="100" t="s">
        <v>829</v>
      </c>
      <c r="R143" s="18" t="s">
        <v>31</v>
      </c>
      <c r="S143" s="129">
        <v>8507600090</v>
      </c>
      <c r="T143" s="63" t="s">
        <v>830</v>
      </c>
      <c r="U143" s="63" t="s">
        <v>831</v>
      </c>
      <c r="V143" s="63" t="s">
        <v>887</v>
      </c>
      <c r="W143" s="101" t="s">
        <v>888</v>
      </c>
      <c r="X143" s="128">
        <v>3564092003099</v>
      </c>
      <c r="Y143" s="157" t="s">
        <v>969</v>
      </c>
    </row>
    <row r="144" spans="1:25" ht="39.75" customHeight="1" x14ac:dyDescent="0.4">
      <c r="A144" s="13">
        <v>200306</v>
      </c>
      <c r="B144" s="103" t="s">
        <v>889</v>
      </c>
      <c r="C144" s="65" t="s">
        <v>30</v>
      </c>
      <c r="D144" s="98" t="s">
        <v>24</v>
      </c>
      <c r="E144" s="155">
        <f t="shared" si="16"/>
        <v>0</v>
      </c>
      <c r="F144" s="155">
        <f t="shared" si="13"/>
        <v>0</v>
      </c>
      <c r="G144" s="150">
        <v>0</v>
      </c>
      <c r="H144" s="155">
        <f t="shared" si="14"/>
        <v>236.5</v>
      </c>
      <c r="I144" s="155">
        <f t="shared" si="15"/>
        <v>290.89499999999998</v>
      </c>
      <c r="J144" s="150">
        <v>55</v>
      </c>
      <c r="K144" s="150">
        <v>47</v>
      </c>
      <c r="L144" s="99" t="s">
        <v>24</v>
      </c>
      <c r="M144" s="7" t="s">
        <v>866</v>
      </c>
      <c r="N144" s="7">
        <v>0.25</v>
      </c>
      <c r="O144" s="5" t="s">
        <v>890</v>
      </c>
      <c r="P144" s="5" t="s">
        <v>828</v>
      </c>
      <c r="Q144" s="100" t="s">
        <v>823</v>
      </c>
      <c r="R144" s="18" t="s">
        <v>31</v>
      </c>
      <c r="S144" s="129">
        <v>8507600090</v>
      </c>
      <c r="T144" s="63" t="s">
        <v>830</v>
      </c>
      <c r="U144" s="63" t="s">
        <v>831</v>
      </c>
      <c r="V144" s="105" t="s">
        <v>891</v>
      </c>
      <c r="W144" s="101" t="s">
        <v>892</v>
      </c>
      <c r="X144" s="128">
        <v>3564092003068</v>
      </c>
      <c r="Y144" s="157" t="s">
        <v>969</v>
      </c>
    </row>
    <row r="145" spans="1:25" ht="39.75" customHeight="1" x14ac:dyDescent="0.4">
      <c r="A145" s="13">
        <v>200333</v>
      </c>
      <c r="B145" s="102" t="s">
        <v>893</v>
      </c>
      <c r="C145" s="65" t="s">
        <v>30</v>
      </c>
      <c r="D145" s="98" t="s">
        <v>24</v>
      </c>
      <c r="E145" s="155">
        <f t="shared" si="16"/>
        <v>0</v>
      </c>
      <c r="F145" s="155">
        <f t="shared" si="13"/>
        <v>0</v>
      </c>
      <c r="G145" s="150">
        <v>0</v>
      </c>
      <c r="H145" s="155">
        <f t="shared" si="14"/>
        <v>275.2</v>
      </c>
      <c r="I145" s="155">
        <f t="shared" si="15"/>
        <v>338.49599999999998</v>
      </c>
      <c r="J145" s="150">
        <v>64</v>
      </c>
      <c r="K145" s="150">
        <v>54</v>
      </c>
      <c r="L145" s="99" t="s">
        <v>24</v>
      </c>
      <c r="M145" s="7" t="s">
        <v>894</v>
      </c>
      <c r="N145" s="7">
        <v>0.42</v>
      </c>
      <c r="O145" s="5" t="s">
        <v>895</v>
      </c>
      <c r="P145" s="5" t="s">
        <v>896</v>
      </c>
      <c r="Q145" s="100" t="s">
        <v>600</v>
      </c>
      <c r="R145" s="18" t="s">
        <v>31</v>
      </c>
      <c r="S145" s="129">
        <v>8507600090</v>
      </c>
      <c r="T145" s="63" t="s">
        <v>830</v>
      </c>
      <c r="U145" s="63" t="s">
        <v>831</v>
      </c>
      <c r="V145" s="105" t="s">
        <v>897</v>
      </c>
      <c r="W145" s="101" t="s">
        <v>898</v>
      </c>
      <c r="X145" s="128">
        <v>3564092003334</v>
      </c>
      <c r="Y145" s="157" t="s">
        <v>969</v>
      </c>
    </row>
    <row r="146" spans="1:25" ht="39.75" customHeight="1" x14ac:dyDescent="0.4">
      <c r="A146" s="13">
        <v>200304</v>
      </c>
      <c r="B146" s="96" t="s">
        <v>899</v>
      </c>
      <c r="C146" s="65" t="s">
        <v>30</v>
      </c>
      <c r="D146" s="98" t="s">
        <v>24</v>
      </c>
      <c r="E146" s="155">
        <f t="shared" si="16"/>
        <v>0</v>
      </c>
      <c r="F146" s="155">
        <f t="shared" si="13"/>
        <v>0</v>
      </c>
      <c r="G146" s="150">
        <v>0</v>
      </c>
      <c r="H146" s="155">
        <f t="shared" si="14"/>
        <v>0</v>
      </c>
      <c r="I146" s="155">
        <f t="shared" si="15"/>
        <v>0</v>
      </c>
      <c r="J146" s="150"/>
      <c r="K146" s="150"/>
      <c r="L146" s="99" t="s">
        <v>24</v>
      </c>
      <c r="M146" s="7" t="s">
        <v>847</v>
      </c>
      <c r="N146" s="7">
        <v>0.96</v>
      </c>
      <c r="O146" s="5" t="s">
        <v>900</v>
      </c>
      <c r="P146" s="5" t="s">
        <v>901</v>
      </c>
      <c r="Q146" s="100" t="s">
        <v>521</v>
      </c>
      <c r="R146" s="18" t="s">
        <v>31</v>
      </c>
      <c r="S146" s="129">
        <v>8507600090</v>
      </c>
      <c r="T146" s="63" t="s">
        <v>830</v>
      </c>
      <c r="U146" s="63" t="s">
        <v>831</v>
      </c>
      <c r="V146" s="105" t="s">
        <v>902</v>
      </c>
      <c r="W146" s="101" t="s">
        <v>903</v>
      </c>
      <c r="X146" s="128">
        <v>3564092003044</v>
      </c>
      <c r="Y146" s="157" t="s">
        <v>969</v>
      </c>
    </row>
    <row r="147" spans="1:25" ht="39.75" customHeight="1" x14ac:dyDescent="0.4">
      <c r="A147" s="13">
        <v>200313</v>
      </c>
      <c r="B147" s="102" t="s">
        <v>904</v>
      </c>
      <c r="C147" s="65" t="s">
        <v>30</v>
      </c>
      <c r="D147" s="98" t="s">
        <v>24</v>
      </c>
      <c r="E147" s="155">
        <f t="shared" si="16"/>
        <v>0</v>
      </c>
      <c r="F147" s="155">
        <f t="shared" si="13"/>
        <v>0</v>
      </c>
      <c r="G147" s="150">
        <v>0</v>
      </c>
      <c r="H147" s="155">
        <f t="shared" si="14"/>
        <v>795.5</v>
      </c>
      <c r="I147" s="155">
        <f t="shared" si="15"/>
        <v>978.46500000000003</v>
      </c>
      <c r="J147" s="150">
        <v>185</v>
      </c>
      <c r="K147" s="150">
        <v>158</v>
      </c>
      <c r="L147" s="99" t="s">
        <v>24</v>
      </c>
      <c r="M147" s="7" t="s">
        <v>905</v>
      </c>
      <c r="N147" s="7">
        <v>1.47</v>
      </c>
      <c r="O147" s="5" t="s">
        <v>906</v>
      </c>
      <c r="P147" s="5" t="s">
        <v>907</v>
      </c>
      <c r="Q147" s="100" t="s">
        <v>350</v>
      </c>
      <c r="R147" s="18" t="s">
        <v>31</v>
      </c>
      <c r="S147" s="129">
        <v>8507600090</v>
      </c>
      <c r="T147" s="63" t="s">
        <v>830</v>
      </c>
      <c r="U147" s="63" t="s">
        <v>831</v>
      </c>
      <c r="V147" s="105" t="s">
        <v>908</v>
      </c>
      <c r="W147" s="101" t="s">
        <v>909</v>
      </c>
      <c r="X147" s="128">
        <v>3564092003136</v>
      </c>
      <c r="Y147" s="157" t="s">
        <v>969</v>
      </c>
    </row>
    <row r="148" spans="1:25" ht="39.75" customHeight="1" x14ac:dyDescent="0.4">
      <c r="A148" s="13">
        <v>200312</v>
      </c>
      <c r="B148" s="103" t="s">
        <v>910</v>
      </c>
      <c r="C148" s="65" t="s">
        <v>30</v>
      </c>
      <c r="D148" s="98" t="s">
        <v>24</v>
      </c>
      <c r="E148" s="155">
        <f t="shared" si="16"/>
        <v>0</v>
      </c>
      <c r="F148" s="155">
        <f t="shared" si="13"/>
        <v>0</v>
      </c>
      <c r="G148" s="150">
        <v>0</v>
      </c>
      <c r="H148" s="155">
        <f t="shared" si="14"/>
        <v>834.19999999999993</v>
      </c>
      <c r="I148" s="155">
        <f t="shared" si="15"/>
        <v>1026.0659999999998</v>
      </c>
      <c r="J148" s="150">
        <v>194</v>
      </c>
      <c r="K148" s="150">
        <v>165</v>
      </c>
      <c r="L148" s="99" t="s">
        <v>24</v>
      </c>
      <c r="M148" s="7" t="s">
        <v>911</v>
      </c>
      <c r="N148" s="7">
        <v>1.0900000000000001</v>
      </c>
      <c r="O148" s="5" t="s">
        <v>912</v>
      </c>
      <c r="P148" s="5" t="s">
        <v>913</v>
      </c>
      <c r="Q148" s="100" t="s">
        <v>270</v>
      </c>
      <c r="R148" s="18" t="s">
        <v>31</v>
      </c>
      <c r="S148" s="129">
        <v>8507600090</v>
      </c>
      <c r="T148" s="63" t="s">
        <v>830</v>
      </c>
      <c r="U148" s="63" t="s">
        <v>831</v>
      </c>
      <c r="V148" s="63" t="s">
        <v>914</v>
      </c>
      <c r="W148" s="101" t="s">
        <v>915</v>
      </c>
      <c r="X148" s="128">
        <v>3564092003129</v>
      </c>
      <c r="Y148" s="157" t="s">
        <v>969</v>
      </c>
    </row>
    <row r="149" spans="1:25" ht="39.75" customHeight="1" x14ac:dyDescent="0.4">
      <c r="A149" s="13">
        <v>200316</v>
      </c>
      <c r="B149" s="36" t="s">
        <v>916</v>
      </c>
      <c r="C149" s="65" t="s">
        <v>30</v>
      </c>
      <c r="D149" s="98" t="s">
        <v>24</v>
      </c>
      <c r="E149" s="155">
        <f t="shared" si="16"/>
        <v>0</v>
      </c>
      <c r="F149" s="155">
        <f t="shared" si="13"/>
        <v>0</v>
      </c>
      <c r="G149" s="150">
        <v>0</v>
      </c>
      <c r="H149" s="155">
        <f t="shared" si="14"/>
        <v>275.2</v>
      </c>
      <c r="I149" s="155">
        <f t="shared" si="15"/>
        <v>338.49599999999998</v>
      </c>
      <c r="J149" s="150">
        <v>64</v>
      </c>
      <c r="K149" s="150">
        <v>54</v>
      </c>
      <c r="L149" s="99" t="s">
        <v>24</v>
      </c>
      <c r="M149" s="7" t="s">
        <v>917</v>
      </c>
      <c r="N149" s="7">
        <v>0.42</v>
      </c>
      <c r="O149" s="5" t="s">
        <v>918</v>
      </c>
      <c r="P149" s="5" t="s">
        <v>919</v>
      </c>
      <c r="Q149" s="100" t="s">
        <v>55</v>
      </c>
      <c r="R149" s="18" t="s">
        <v>31</v>
      </c>
      <c r="S149" s="129">
        <v>8507600090</v>
      </c>
      <c r="T149" s="63" t="s">
        <v>830</v>
      </c>
      <c r="U149" s="63" t="s">
        <v>831</v>
      </c>
      <c r="V149" s="63" t="s">
        <v>920</v>
      </c>
      <c r="W149" s="106" t="s">
        <v>921</v>
      </c>
      <c r="X149" s="128">
        <v>3564092003167</v>
      </c>
      <c r="Y149" s="157" t="s">
        <v>969</v>
      </c>
    </row>
    <row r="150" spans="1:25" ht="39.75" customHeight="1" x14ac:dyDescent="0.4">
      <c r="A150" s="72">
        <v>200314</v>
      </c>
      <c r="B150" s="36" t="s">
        <v>922</v>
      </c>
      <c r="C150" s="65" t="s">
        <v>30</v>
      </c>
      <c r="D150" s="98" t="s">
        <v>24</v>
      </c>
      <c r="E150" s="155">
        <f t="shared" si="16"/>
        <v>0</v>
      </c>
      <c r="F150" s="155">
        <f t="shared" si="13"/>
        <v>0</v>
      </c>
      <c r="G150" s="150">
        <v>0</v>
      </c>
      <c r="H150" s="155">
        <f t="shared" si="14"/>
        <v>0</v>
      </c>
      <c r="I150" s="155">
        <f t="shared" si="15"/>
        <v>0</v>
      </c>
      <c r="J150" s="150"/>
      <c r="K150" s="150"/>
      <c r="L150" s="99" t="s">
        <v>24</v>
      </c>
      <c r="M150" s="66" t="s">
        <v>847</v>
      </c>
      <c r="N150" s="7">
        <v>0.46</v>
      </c>
      <c r="O150" s="18" t="s">
        <v>923</v>
      </c>
      <c r="P150" s="18" t="s">
        <v>919</v>
      </c>
      <c r="Q150" s="100" t="s">
        <v>350</v>
      </c>
      <c r="R150" s="18" t="s">
        <v>31</v>
      </c>
      <c r="S150" s="129">
        <v>8507600090</v>
      </c>
      <c r="T150" s="63" t="s">
        <v>830</v>
      </c>
      <c r="U150" s="63" t="s">
        <v>831</v>
      </c>
      <c r="V150" s="63" t="s">
        <v>924</v>
      </c>
      <c r="W150" s="101" t="s">
        <v>925</v>
      </c>
      <c r="X150" s="128">
        <v>3564092003143</v>
      </c>
      <c r="Y150" s="157" t="s">
        <v>969</v>
      </c>
    </row>
    <row r="151" spans="1:25" ht="39.75" customHeight="1" x14ac:dyDescent="0.4">
      <c r="A151" s="13">
        <v>200315</v>
      </c>
      <c r="B151" s="2" t="s">
        <v>926</v>
      </c>
      <c r="C151" s="107" t="s">
        <v>30</v>
      </c>
      <c r="D151" s="108" t="s">
        <v>24</v>
      </c>
      <c r="E151" s="155">
        <f t="shared" si="16"/>
        <v>0</v>
      </c>
      <c r="F151" s="155">
        <f t="shared" si="13"/>
        <v>0</v>
      </c>
      <c r="G151" s="150">
        <v>0</v>
      </c>
      <c r="H151" s="155">
        <f t="shared" si="14"/>
        <v>313.89999999999998</v>
      </c>
      <c r="I151" s="155">
        <f t="shared" si="15"/>
        <v>386.09699999999998</v>
      </c>
      <c r="J151" s="151">
        <v>73</v>
      </c>
      <c r="K151" s="151">
        <v>62</v>
      </c>
      <c r="L151" s="109" t="s">
        <v>24</v>
      </c>
      <c r="M151" s="7" t="s">
        <v>847</v>
      </c>
      <c r="N151" s="7">
        <v>0.57999999999999996</v>
      </c>
      <c r="O151" s="5" t="s">
        <v>927</v>
      </c>
      <c r="P151" s="5" t="s">
        <v>919</v>
      </c>
      <c r="Q151" s="110" t="s">
        <v>855</v>
      </c>
      <c r="R151" s="110" t="s">
        <v>31</v>
      </c>
      <c r="S151" s="129">
        <v>8507600090</v>
      </c>
      <c r="T151" s="111" t="s">
        <v>830</v>
      </c>
      <c r="U151" s="111" t="s">
        <v>831</v>
      </c>
      <c r="V151" s="112" t="s">
        <v>928</v>
      </c>
      <c r="W151" s="113" t="s">
        <v>929</v>
      </c>
      <c r="X151" s="129">
        <v>3564092003150</v>
      </c>
      <c r="Y151" s="157" t="s">
        <v>969</v>
      </c>
    </row>
    <row r="152" spans="1:25" ht="39.75" customHeight="1" x14ac:dyDescent="0.4">
      <c r="A152" s="158">
        <v>66892089</v>
      </c>
      <c r="C152" s="159" t="s">
        <v>970</v>
      </c>
    </row>
    <row r="153" spans="1:25" ht="39.75" customHeight="1" x14ac:dyDescent="0.4">
      <c r="A153" s="158">
        <v>66892091</v>
      </c>
      <c r="C153" s="159" t="s">
        <v>971</v>
      </c>
    </row>
    <row r="154" spans="1:25" ht="39.75" customHeight="1" x14ac:dyDescent="0.4">
      <c r="A154" s="158">
        <v>66892093</v>
      </c>
      <c r="C154" s="159" t="s">
        <v>972</v>
      </c>
    </row>
  </sheetData>
  <hyperlinks>
    <hyperlink ref="D2" r:id="rId1" xr:uid="{9951717E-4E81-479B-B0DD-B32F03EA6CD5}"/>
    <hyperlink ref="L2" r:id="rId2" xr:uid="{50733919-DDEF-466B-8C73-5D5235AEAF1C}"/>
    <hyperlink ref="D3" r:id="rId3" xr:uid="{078D228F-D64E-4B5E-AE9F-459B443465C2}"/>
    <hyperlink ref="L3" r:id="rId4" xr:uid="{D4C958B5-683F-4323-A984-05260D075DEC}"/>
    <hyperlink ref="D4" r:id="rId5" xr:uid="{9F908BA9-B60E-4CA5-965E-3177E384F806}"/>
    <hyperlink ref="L4" r:id="rId6" xr:uid="{CBFACBBC-1B8C-46EF-8287-6D97C9286787}"/>
    <hyperlink ref="D5" r:id="rId7" xr:uid="{4095D5CF-C4FA-4A39-A6B2-0AC0D6B02C05}"/>
    <hyperlink ref="L5" r:id="rId8" xr:uid="{9EC88DE3-1310-40BF-94A4-BBD776F4C437}"/>
    <hyperlink ref="D6" r:id="rId9" xr:uid="{18EFE1B4-58FA-4B77-9D2C-10A9F86605EC}"/>
    <hyperlink ref="L6" r:id="rId10" xr:uid="{0D756A21-406C-4F6D-A204-2C52737C5212}"/>
    <hyperlink ref="D7" r:id="rId11" xr:uid="{897EAF8D-EF4F-4B0A-B9BE-97B1E8E08612}"/>
    <hyperlink ref="D8" r:id="rId12" xr:uid="{CA4DB963-C8ED-4B33-92A2-32D7594542A7}"/>
    <hyperlink ref="L8" r:id="rId13" xr:uid="{965DE39D-19EE-4AB2-89C4-05961088E385}"/>
    <hyperlink ref="D9" r:id="rId14" xr:uid="{60BA80AA-0234-4B67-ABC2-EBBDEAAC66F3}"/>
    <hyperlink ref="L9" r:id="rId15" xr:uid="{319770A4-DF70-48E5-A2CB-65DDF35B5B57}"/>
    <hyperlink ref="D10" r:id="rId16" xr:uid="{1DDF1523-FAD5-4313-BE85-E738E6E45A4E}"/>
    <hyperlink ref="L10" r:id="rId17" xr:uid="{FE2E8978-DE3C-4DDF-88F6-C63D6437FB95}"/>
    <hyperlink ref="D11" r:id="rId18" xr:uid="{0B5C5266-81FF-4F72-9244-9FBB18441CC8}"/>
    <hyperlink ref="L11" r:id="rId19" xr:uid="{78C05A45-9EA7-460D-BA08-64F191C94FC2}"/>
    <hyperlink ref="D12" r:id="rId20" xr:uid="{D3F7FEE7-104B-49A8-AB73-FEC1998950EA}"/>
    <hyperlink ref="L12" r:id="rId21" xr:uid="{ACD511FF-4FAE-4F49-80DC-8924DA7672AC}"/>
    <hyperlink ref="D13" r:id="rId22" xr:uid="{888DC795-8049-475B-BAA3-B64E3C1A0972}"/>
    <hyperlink ref="L13" r:id="rId23" xr:uid="{82F8A7EB-71AC-4BAE-9456-024D3C39338A}"/>
    <hyperlink ref="D14" r:id="rId24" xr:uid="{B8038D71-E3A3-423E-8194-FB55E990407B}"/>
    <hyperlink ref="L14" r:id="rId25" xr:uid="{8028C43C-DFC0-4D8F-A7C8-E041E8FD1AD3}"/>
    <hyperlink ref="D15" r:id="rId26" xr:uid="{991948BD-2E93-4E1D-B624-EDC8079612FA}"/>
    <hyperlink ref="L15" r:id="rId27" xr:uid="{E36B0FAA-9C23-40EA-AB5C-6F039C094B33}"/>
    <hyperlink ref="D16" r:id="rId28" xr:uid="{C68FF5B4-8CBF-402A-8945-08C9F4D0E27F}"/>
    <hyperlink ref="L16" r:id="rId29" xr:uid="{9D66FF4A-E670-45B6-9F1D-2E15D834D479}"/>
    <hyperlink ref="D17" r:id="rId30" xr:uid="{ADE56A6D-524F-4040-BD62-C6A326932F72}"/>
    <hyperlink ref="L17" r:id="rId31" xr:uid="{58CD5572-A8D6-456A-9125-CC1ED2D5E014}"/>
    <hyperlink ref="D18" r:id="rId32" xr:uid="{2B01E0C7-4FA5-4D8B-9AC5-6204FDDA2E18}"/>
    <hyperlink ref="L18" r:id="rId33" xr:uid="{8134804C-8AC5-4ABC-8BCF-A577B293B3C3}"/>
    <hyperlink ref="D19" r:id="rId34" xr:uid="{8501E8C2-3A3A-497C-AF14-C397E7128521}"/>
    <hyperlink ref="L19" r:id="rId35" xr:uid="{559BC4F5-F4DB-4C1D-8CCC-DBC67EEAF29E}"/>
    <hyperlink ref="D20" r:id="rId36" xr:uid="{99B206C3-B8A2-4586-B09D-8F06ECF7D482}"/>
    <hyperlink ref="L20" r:id="rId37" xr:uid="{B14E6290-1DA9-4AAA-8F62-97B2A70D9982}"/>
    <hyperlink ref="L21" r:id="rId38" xr:uid="{9E767439-8D33-4041-9AC1-627F4F33A585}"/>
    <hyperlink ref="D22" r:id="rId39" xr:uid="{01FD4E24-838F-4D81-9003-5EB8504E1EC4}"/>
    <hyperlink ref="L22" r:id="rId40" xr:uid="{F3EC11F9-E3D2-4F27-991A-9CD0088738B0}"/>
    <hyperlink ref="D23" r:id="rId41" xr:uid="{830D27CF-96B2-4694-858D-B02DF034BE4F}"/>
    <hyperlink ref="L23" r:id="rId42" xr:uid="{197EA21A-0928-4C8B-BCF1-BA79BF6CE0F4}"/>
    <hyperlink ref="D24" r:id="rId43" xr:uid="{0308FE0B-2140-44EE-B996-1730C9BA9436}"/>
    <hyperlink ref="L24" r:id="rId44" xr:uid="{565017B2-9553-48C3-809C-B19B7C83F547}"/>
    <hyperlink ref="D25" r:id="rId45" xr:uid="{36384423-73F9-4F8F-AD11-F662735BDED4}"/>
    <hyperlink ref="L25" r:id="rId46" xr:uid="{8C958CC1-445E-4AF9-97CB-F8073635835B}"/>
    <hyperlink ref="D26" r:id="rId47" xr:uid="{247CFFD3-ADE4-4807-B867-A745F5309429}"/>
    <hyperlink ref="D29" r:id="rId48" xr:uid="{5D936962-D3D8-4CC3-BC0C-A139813E6C9E}"/>
    <hyperlink ref="D30" r:id="rId49" xr:uid="{BF33934F-9969-470B-AAC0-B591C1697415}"/>
    <hyperlink ref="D31" r:id="rId50" xr:uid="{399CEE9B-28C7-4E70-B940-3C21C6E9CCB5}"/>
    <hyperlink ref="D32" r:id="rId51" xr:uid="{78710CA9-232A-435C-9F77-1421FB850E18}"/>
    <hyperlink ref="D33" r:id="rId52" xr:uid="{349C30B8-BDF5-4E3C-9D09-944CAC6985EA}"/>
    <hyperlink ref="L33" r:id="rId53" xr:uid="{724544F5-D6A0-45A0-B8D6-B73F45D9DF2B}"/>
    <hyperlink ref="D34" r:id="rId54" xr:uid="{4BC85A9B-74C5-4355-AF18-6C4605A0B5A1}"/>
    <hyperlink ref="D35" r:id="rId55" xr:uid="{6C0448E4-79D7-49AE-A8D4-1795345D0338}"/>
    <hyperlink ref="D36" r:id="rId56" xr:uid="{5A0104A4-B8CB-4EF1-B555-7EEA17E2E62B}"/>
    <hyperlink ref="D37" r:id="rId57" xr:uid="{2DD05DBF-9AEA-4ADF-939E-473A7971FB9C}"/>
    <hyperlink ref="D39" r:id="rId58" xr:uid="{EC115ACF-8A23-4AF0-9FAB-0C1ABA3C673E}"/>
    <hyperlink ref="D40" r:id="rId59" xr:uid="{F2DA2135-20B4-47EF-A5B4-9939269E60E4}"/>
    <hyperlink ref="D41" r:id="rId60" xr:uid="{2B023091-62B6-4C38-B944-3582DDA5E4C6}"/>
    <hyperlink ref="D42" r:id="rId61" xr:uid="{1FC43E3B-B01E-44CD-80EF-A9A1DD7909DF}"/>
    <hyperlink ref="D44" r:id="rId62" xr:uid="{EAED352F-348D-462D-A872-54D7B6B134E3}"/>
    <hyperlink ref="D46" r:id="rId63" xr:uid="{08B140DF-4683-4788-B710-0E8A4946563C}"/>
    <hyperlink ref="D47" r:id="rId64" xr:uid="{78A528A6-AA8F-4314-9593-F636D291F238}"/>
    <hyperlink ref="D48" r:id="rId65" xr:uid="{E120A5EA-30DC-4DC5-BC9A-20B788FDAE1B}"/>
    <hyperlink ref="D49" r:id="rId66" xr:uid="{1AF7E75F-6F8D-4BEC-A9CA-A5FF4A33CB8A}"/>
    <hyperlink ref="D50" r:id="rId67" xr:uid="{EB8CB5F3-6609-416A-ABAF-C9DAC2DFF6E0}"/>
    <hyperlink ref="D51" r:id="rId68" xr:uid="{BAEC12DD-6D60-4A23-9A48-D396DEE3EAD6}"/>
    <hyperlink ref="D52" r:id="rId69" xr:uid="{6F97E37E-8324-4B38-8AAD-B10FECE311AE}"/>
    <hyperlink ref="D53" r:id="rId70" xr:uid="{0460FC69-B6E8-4E4D-B45E-41BEC03F7FA8}"/>
    <hyperlink ref="D54" r:id="rId71" xr:uid="{FDA59972-F6B4-4D7C-AEB4-EE03EB14C72D}"/>
    <hyperlink ref="D55" r:id="rId72" xr:uid="{2FAEAA66-AE7D-4680-9D95-E7559393278E}"/>
    <hyperlink ref="D57" r:id="rId73" xr:uid="{0A982486-395D-4F1D-BC69-B8101114F001}"/>
    <hyperlink ref="D58" r:id="rId74" xr:uid="{0F5C7287-7203-468E-BDE0-7851B1080CEC}"/>
    <hyperlink ref="D59" r:id="rId75" xr:uid="{D3E0E9C9-D6C4-480F-848F-6F9B574A42DD}"/>
    <hyperlink ref="L59" r:id="rId76" xr:uid="{D47130B9-5714-4458-B6D0-6A3C9C92B7A9}"/>
    <hyperlink ref="D60" r:id="rId77" xr:uid="{585885AC-DDB6-4EDC-872D-DADC854D90D2}"/>
    <hyperlink ref="D61" r:id="rId78" xr:uid="{AC20F76A-8954-4C92-AC1F-9BB8FC7EA886}"/>
    <hyperlink ref="D62" r:id="rId79" xr:uid="{DB759E13-BDB5-47F8-8157-EDA91F3A1D58}"/>
    <hyperlink ref="L62" r:id="rId80" xr:uid="{8AC146E8-6407-44D7-8360-4E14B10AB41C}"/>
    <hyperlink ref="D63" r:id="rId81" xr:uid="{46B8F73D-1460-40FF-9499-C6312BD688AF}"/>
    <hyperlink ref="D64" r:id="rId82" xr:uid="{DB762EAB-A40A-4E06-AF27-981B43E051E2}"/>
    <hyperlink ref="L64" r:id="rId83" xr:uid="{572DCA1A-B0DD-433E-80AF-6C481DE70C86}"/>
    <hyperlink ref="D65" r:id="rId84" xr:uid="{DABED25E-3ADC-4898-8F3B-D9B213500D3C}"/>
    <hyperlink ref="L65" r:id="rId85" xr:uid="{36540C7F-527F-4E07-929F-3094C9AD9D3C}"/>
    <hyperlink ref="D66" r:id="rId86" xr:uid="{FE152B41-469D-4FA5-9ACC-74802FE5B000}"/>
    <hyperlink ref="D67" r:id="rId87" xr:uid="{51634427-4BDF-4D39-B963-94B90B0F60AC}"/>
    <hyperlink ref="D68" r:id="rId88" xr:uid="{80219659-D29B-4481-B0F0-9E3F77EEFD17}"/>
    <hyperlink ref="D69" r:id="rId89" xr:uid="{3DFAF876-E433-4330-A47E-B0E595AE8E3A}"/>
    <hyperlink ref="D70" r:id="rId90" xr:uid="{E7333145-7BC2-41CD-9D22-60AD489B3161}"/>
    <hyperlink ref="D71" r:id="rId91" xr:uid="{BA16E8B0-0969-4130-85DB-508D596B7EC3}"/>
    <hyperlink ref="L71" r:id="rId92" xr:uid="{8BA9AA44-A252-46D7-BC7B-816F3FA2A8EF}"/>
    <hyperlink ref="L72" r:id="rId93" xr:uid="{CFE65E2D-BFEE-4F01-BF50-D27213497AC4}"/>
    <hyperlink ref="D73" r:id="rId94" xr:uid="{92BF779F-8794-48BF-8AA6-C0C1C2E89329}"/>
    <hyperlink ref="L73" r:id="rId95" xr:uid="{93037D8A-8C08-4AE6-9C66-BB546121F915}"/>
    <hyperlink ref="D74" r:id="rId96" xr:uid="{08E79743-3C47-418F-BB0B-331534864DB4}"/>
    <hyperlink ref="D75" r:id="rId97" xr:uid="{95E52CE5-25BF-42CF-A7AF-7B1FC36D73E0}"/>
    <hyperlink ref="L75" r:id="rId98" xr:uid="{D95E494D-DE1E-43A3-8EFA-6B96E1F08FFE}"/>
    <hyperlink ref="D76" r:id="rId99" xr:uid="{203CC46C-B256-4FEB-998F-FCC0CE8E5616}"/>
    <hyperlink ref="D77" r:id="rId100" xr:uid="{8A303C39-0E15-4B14-BB51-6714B72A7757}"/>
    <hyperlink ref="D78" r:id="rId101" xr:uid="{6A3FF94E-7474-492D-B389-A84A932E4E1F}"/>
    <hyperlink ref="D79" r:id="rId102" xr:uid="{0B70A8D5-1496-4D57-9627-0CB4BF1DB2A4}"/>
    <hyperlink ref="D83" r:id="rId103" xr:uid="{B8388954-6397-4C06-A594-5041738C1D51}"/>
    <hyperlink ref="D84" r:id="rId104" xr:uid="{0792635C-55EA-476C-9507-1339DF004C74}"/>
    <hyperlink ref="L84" r:id="rId105" xr:uid="{95FCF84B-520B-4C3A-B0A6-28F1EB2B9DED}"/>
    <hyperlink ref="D85" r:id="rId106" xr:uid="{5ED845CC-85D9-4566-B148-66F6B770D714}"/>
    <hyperlink ref="L85" r:id="rId107" xr:uid="{D6B8BA78-5ADE-4D6D-ACCE-2DD20467CC21}"/>
    <hyperlink ref="D86" r:id="rId108" xr:uid="{C3345A39-3AC7-42C2-B82B-868BC057801C}"/>
    <hyperlink ref="D87" r:id="rId109" xr:uid="{E8C8856F-A334-469F-A91B-D1855DF2EDD6}"/>
    <hyperlink ref="D88" r:id="rId110" xr:uid="{B5B96EDF-4ABC-402D-89E2-C93AA910F175}"/>
    <hyperlink ref="D89" r:id="rId111" xr:uid="{CC0D8000-8540-44AE-BFC2-809F21650DB2}"/>
    <hyperlink ref="D90" r:id="rId112" xr:uid="{D0A42AA0-E16F-4DED-BA49-4963D238AB5F}"/>
    <hyperlink ref="D91" r:id="rId113" xr:uid="{9050D949-F012-4B35-B15A-9A93487EA89E}"/>
    <hyperlink ref="D92" r:id="rId114" xr:uid="{60B57231-ABA9-4FD5-BF50-6B1611E42BB9}"/>
    <hyperlink ref="L92" r:id="rId115" xr:uid="{8C6AEFDC-F707-400D-9BDF-5CD683139D94}"/>
    <hyperlink ref="D93" r:id="rId116" xr:uid="{FEBD508B-6FD6-441E-9B24-E41892727238}"/>
    <hyperlink ref="L93" r:id="rId117" xr:uid="{859DD3CC-95E1-4224-9D97-D4B587A294F8}"/>
    <hyperlink ref="D94" r:id="rId118" xr:uid="{E1529B7C-3F28-4698-9CFA-2695167ECEE3}"/>
    <hyperlink ref="D95" r:id="rId119" xr:uid="{1ABD555D-6519-404A-8456-E0F100F34836}"/>
    <hyperlink ref="L95" r:id="rId120" xr:uid="{3E32FF8C-FD5C-44E2-ABF3-C91CDBAD7FCB}"/>
    <hyperlink ref="D96" r:id="rId121" xr:uid="{B760C164-F3C1-4916-BD7A-4AAA638C5363}"/>
    <hyperlink ref="D97" r:id="rId122" xr:uid="{9D53F366-A2AE-4BB6-AE54-C83E28466C04}"/>
    <hyperlink ref="D98" r:id="rId123" xr:uid="{B53E902D-A6AB-4CA8-91E7-0BC5F98D88E7}"/>
    <hyperlink ref="D99" r:id="rId124" xr:uid="{BFA9AA31-92E5-4612-8045-7F4CF5F6136A}"/>
    <hyperlink ref="D100" r:id="rId125" xr:uid="{F856BD6B-04BD-4F77-9C1A-A0786C33C1F2}"/>
    <hyperlink ref="D101" r:id="rId126" xr:uid="{D5AB6C49-0929-4B89-9031-FA04E9205866}"/>
    <hyperlink ref="L102" r:id="rId127" xr:uid="{3DFD3D95-ED0E-43AB-B8AD-9AD47975860E}"/>
    <hyperlink ref="D103" r:id="rId128" xr:uid="{59FA8838-7435-4B73-BDA7-F1243F2E3778}"/>
    <hyperlink ref="D104" r:id="rId129" xr:uid="{CDB277AC-2F2A-4432-83C1-B9ABBD3B727C}"/>
    <hyperlink ref="D105" r:id="rId130" xr:uid="{FC1D1779-D51A-4DBD-997B-DB0EE87E3324}"/>
    <hyperlink ref="D106" r:id="rId131" xr:uid="{D9BBA69B-5382-4803-ADF6-9853DFAC3C1C}"/>
    <hyperlink ref="D107" r:id="rId132" xr:uid="{C17DB765-6F63-465D-8969-3666E800A15A}"/>
    <hyperlink ref="D108" r:id="rId133" xr:uid="{734AD883-7FC9-425C-ACBE-1CBEED48EE59}"/>
    <hyperlink ref="D109" r:id="rId134" xr:uid="{53408287-C9D2-40E5-AAD4-B511C6F001C3}"/>
    <hyperlink ref="D110" r:id="rId135" xr:uid="{2F0121BA-BDA7-42BD-8793-19CB4C1099F8}"/>
    <hyperlink ref="D111" r:id="rId136" xr:uid="{06DD1B4F-0DFE-4E16-860D-A8C372EA8A5F}"/>
    <hyperlink ref="D112" r:id="rId137" xr:uid="{F39930A6-6591-4852-9CED-C2D3C266C486}"/>
    <hyperlink ref="D113" r:id="rId138" xr:uid="{92CF54BA-7482-4B34-946F-44D3A3445C30}"/>
    <hyperlink ref="D114" r:id="rId139" xr:uid="{6B8324F8-77EF-427D-AA00-B048DE2708F8}"/>
    <hyperlink ref="D115" r:id="rId140" xr:uid="{BEC5B6A5-C164-4315-AD64-59E2560CC25F}"/>
    <hyperlink ref="D116" r:id="rId141" xr:uid="{C2754395-220F-43DD-BC4A-3E58B6A9B758}"/>
    <hyperlink ref="D117" r:id="rId142" xr:uid="{C2879CB3-8D57-486D-8C9D-7483D8F31158}"/>
    <hyperlink ref="D118" r:id="rId143" xr:uid="{626DCB43-1475-437A-A872-AB92E5F9B903}"/>
    <hyperlink ref="D119" r:id="rId144" xr:uid="{7B2E011B-115F-441A-A318-DCDC4AF660B1}"/>
    <hyperlink ref="D120" r:id="rId145" xr:uid="{206B2276-F79B-40FC-A22E-7799B90F1D77}"/>
    <hyperlink ref="D121" r:id="rId146" xr:uid="{33CB825C-C79E-4396-AA04-CBDC0C58619D}"/>
    <hyperlink ref="D124" r:id="rId147" xr:uid="{59F1A6BC-BCC9-4B2A-9E3D-D71DDB9D7D96}"/>
    <hyperlink ref="D125" r:id="rId148" xr:uid="{5CB6D043-B736-41FE-981A-9F1762D287A2}"/>
    <hyperlink ref="D126" r:id="rId149" xr:uid="{D77CB21B-7A2E-4919-963A-0B43A1BA0559}"/>
    <hyperlink ref="D127" r:id="rId150" xr:uid="{6C1F8985-1042-4CE3-A9D1-D981D4AB41A3}"/>
    <hyperlink ref="D128" r:id="rId151" xr:uid="{842A6479-9F12-494D-B03A-C6834F01CA57}"/>
    <hyperlink ref="D129" r:id="rId152" xr:uid="{394F452D-6BDA-4A4D-B2F1-5FDE9CBC8797}"/>
    <hyperlink ref="D130" r:id="rId153" xr:uid="{F671CF19-0FE1-4546-B541-880CF196E603}"/>
    <hyperlink ref="D131" r:id="rId154" xr:uid="{128FA78F-14AE-489C-A3E6-96A85DAAFDAE}"/>
    <hyperlink ref="D27" r:id="rId155" xr:uid="{C4EFB551-B1B1-4114-9F2E-04C0DC77F06A}"/>
    <hyperlink ref="D28" r:id="rId156" xr:uid="{7729C8CD-5B4E-4C98-8342-C92953409B7D}"/>
    <hyperlink ref="L27" r:id="rId157" xr:uid="{436B4743-B11B-4396-AB90-5008B6D7686C}"/>
    <hyperlink ref="L28" r:id="rId158" xr:uid="{23EB2254-241F-4368-927A-2B6E7C26CDF2}"/>
    <hyperlink ref="D80" r:id="rId159" xr:uid="{3BAA9D6B-DCD6-4C82-B6B1-B2CFF9999B25}"/>
    <hyperlink ref="D81" r:id="rId160" xr:uid="{6AEC980B-C8D2-4E97-A542-25AEAB9D5CB7}"/>
    <hyperlink ref="D82" r:id="rId161" xr:uid="{75E0EA7E-08DE-4FCA-9F2C-4F9BAE2ECEE6}"/>
    <hyperlink ref="L7" r:id="rId162" xr:uid="{60DA81BE-721D-4700-86FB-C792DF03E540}"/>
    <hyperlink ref="L80" r:id="rId163" xr:uid="{F125532E-4E77-4278-AC03-D684DAA3E101}"/>
    <hyperlink ref="L81" r:id="rId164" xr:uid="{5F679E01-79DB-4B24-AC5E-847EF35B1C60}"/>
    <hyperlink ref="L82" r:id="rId165" xr:uid="{1A7D3BDC-DC55-496C-B2F8-EC5867050167}"/>
    <hyperlink ref="L86" r:id="rId166" xr:uid="{B4E6F0E5-B785-4190-B53E-7D51DACD1B17}"/>
    <hyperlink ref="L87:L90" r:id="rId167" display="https://auto-mow.com/pl/shop/cable/installation-kits/installation-kit-an-all-in-one-solution-for-a-robot-installation/" xr:uid="{A708ECB9-A555-416F-940B-599DC65CFEAF}"/>
    <hyperlink ref="L91" r:id="rId168" xr:uid="{C3261DBC-025D-4214-91ED-55509CCC009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Rafał Piechota</cp:lastModifiedBy>
  <cp:revision/>
  <dcterms:created xsi:type="dcterms:W3CDTF">2025-01-14T12:00:39Z</dcterms:created>
  <dcterms:modified xsi:type="dcterms:W3CDTF">2025-08-20T19:48:06Z</dcterms:modified>
  <cp:category/>
  <cp:contentStatus/>
</cp:coreProperties>
</file>